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Reserva\Documents\UNIVERSIDAD\ULTIMO SEMESTRE\subir a git\Fase 2\Evidencias Grupales\"/>
    </mc:Choice>
  </mc:AlternateContent>
  <xr:revisionPtr revIDLastSave="0" documentId="13_ncr:1_{8091F68D-F9A1-49E4-815C-01E73CBCB125}" xr6:coauthVersionLast="47" xr6:coauthVersionMax="47" xr10:uidLastSave="{00000000-0000-0000-0000-000000000000}"/>
  <bookViews>
    <workbookView xWindow="-120" yWindow="-120" windowWidth="29040" windowHeight="15840" xr2:uid="{00000000-000D-0000-FFFF-FFFF00000000}"/>
  </bookViews>
  <sheets>
    <sheet name="RUBRICA" sheetId="1" r:id="rId1"/>
    <sheet name="EVALUACION1" sheetId="2" r:id="rId2"/>
    <sheet name="ESCALA_IEP" sheetId="3" state="hidden" r:id="rId3"/>
    <sheet name="ESCALA_PRESENTACION" sheetId="4" state="hidden" r:id="rId4"/>
    <sheet name="ESCALA_TRAB_EQUIP" sheetId="5" state="hidden" r:id="rId5"/>
    <sheet name="RELEVANCIA-PUNTAJE" sheetId="6"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fRTq5S/A1/DqyCMX85R15yZnqCk+TvdR3TB7GH3ye6g="/>
    </ext>
  </extLst>
</workbook>
</file>

<file path=xl/calcChain.xml><?xml version="1.0" encoding="utf-8"?>
<calcChain xmlns="http://schemas.openxmlformats.org/spreadsheetml/2006/main">
  <c r="J53" i="2" l="1"/>
  <c r="K53" i="2" s="1"/>
  <c r="H53" i="2"/>
  <c r="I53" i="2" s="1"/>
  <c r="F53" i="2"/>
  <c r="G53" i="2" s="1"/>
  <c r="D53" i="2"/>
  <c r="E53" i="2" s="1"/>
  <c r="B53" i="2"/>
  <c r="K52" i="2"/>
  <c r="K54" i="2" s="1"/>
  <c r="J52" i="2"/>
  <c r="I52" i="2"/>
  <c r="H52" i="2"/>
  <c r="G52" i="2"/>
  <c r="F52" i="2"/>
  <c r="E52" i="2"/>
  <c r="D52" i="2"/>
  <c r="B52" i="2"/>
  <c r="K51" i="2"/>
  <c r="J51" i="2"/>
  <c r="H51" i="2"/>
  <c r="I51" i="2" s="1"/>
  <c r="I54" i="2" s="1"/>
  <c r="G51" i="2"/>
  <c r="G54" i="2" s="1"/>
  <c r="F51" i="2"/>
  <c r="D51" i="2"/>
  <c r="E51" i="2" s="1"/>
  <c r="E54" i="2" s="1"/>
  <c r="C54" i="2" s="1"/>
  <c r="C55" i="2" s="1"/>
  <c r="D6" i="2" s="1"/>
  <c r="B51" i="2"/>
  <c r="C47" i="2"/>
  <c r="K42" i="2"/>
  <c r="K43" i="2" s="1"/>
  <c r="J42" i="2"/>
  <c r="H42" i="2"/>
  <c r="I42" i="2" s="1"/>
  <c r="G42" i="2"/>
  <c r="F42" i="2"/>
  <c r="D42" i="2"/>
  <c r="E42" i="2" s="1"/>
  <c r="B42" i="2"/>
  <c r="K41" i="2"/>
  <c r="J41" i="2"/>
  <c r="H41" i="2"/>
  <c r="I41" i="2" s="1"/>
  <c r="G41" i="2"/>
  <c r="F41" i="2"/>
  <c r="D41" i="2"/>
  <c r="E41" i="2" s="1"/>
  <c r="B41" i="2"/>
  <c r="J40" i="2"/>
  <c r="K40" i="2" s="1"/>
  <c r="I40" i="2"/>
  <c r="H40" i="2"/>
  <c r="F40" i="2"/>
  <c r="G40" i="2" s="1"/>
  <c r="G43" i="2" s="1"/>
  <c r="E40" i="2"/>
  <c r="D40" i="2"/>
  <c r="B40" i="2"/>
  <c r="C36" i="2"/>
  <c r="J30" i="2"/>
  <c r="K30" i="2" s="1"/>
  <c r="I30" i="2"/>
  <c r="H30" i="2"/>
  <c r="F30" i="2"/>
  <c r="G30" i="2" s="1"/>
  <c r="E30" i="2"/>
  <c r="D30" i="2"/>
  <c r="B30" i="2"/>
  <c r="J29" i="2"/>
  <c r="K29" i="2" s="1"/>
  <c r="K31" i="2" s="1"/>
  <c r="I29" i="2"/>
  <c r="H29" i="2"/>
  <c r="F29" i="2"/>
  <c r="G29" i="2" s="1"/>
  <c r="E29" i="2"/>
  <c r="D29" i="2"/>
  <c r="B29" i="2"/>
  <c r="K28" i="2"/>
  <c r="J28" i="2"/>
  <c r="H28" i="2"/>
  <c r="I28" i="2" s="1"/>
  <c r="I31" i="2" s="1"/>
  <c r="G28" i="2"/>
  <c r="F28" i="2"/>
  <c r="D28" i="2"/>
  <c r="E28" i="2" s="1"/>
  <c r="E31" i="2" s="1"/>
  <c r="B28" i="2"/>
  <c r="C24" i="2"/>
  <c r="K19" i="2"/>
  <c r="J19" i="2"/>
  <c r="H19" i="2"/>
  <c r="I19" i="2" s="1"/>
  <c r="G19" i="2"/>
  <c r="F19" i="2"/>
  <c r="D19" i="2"/>
  <c r="E19" i="2" s="1"/>
  <c r="B19" i="2"/>
  <c r="K18" i="2"/>
  <c r="J18" i="2"/>
  <c r="H18" i="2"/>
  <c r="I18" i="2" s="1"/>
  <c r="G18" i="2"/>
  <c r="F18" i="2"/>
  <c r="D18" i="2"/>
  <c r="E18" i="2" s="1"/>
  <c r="B18" i="2"/>
  <c r="J17" i="2"/>
  <c r="K17" i="2" s="1"/>
  <c r="I17" i="2"/>
  <c r="H17" i="2"/>
  <c r="F17" i="2"/>
  <c r="G17" i="2" s="1"/>
  <c r="E17" i="2"/>
  <c r="D17" i="2"/>
  <c r="B17" i="2"/>
  <c r="J16" i="2"/>
  <c r="K16" i="2" s="1"/>
  <c r="I16" i="2"/>
  <c r="H16" i="2"/>
  <c r="F16" i="2"/>
  <c r="G16" i="2" s="1"/>
  <c r="E16" i="2"/>
  <c r="D16" i="2"/>
  <c r="B16" i="2"/>
  <c r="K15" i="2"/>
  <c r="J15" i="2"/>
  <c r="H15" i="2"/>
  <c r="I15" i="2" s="1"/>
  <c r="G15" i="2"/>
  <c r="F15" i="2"/>
  <c r="D15" i="2"/>
  <c r="E15" i="2" s="1"/>
  <c r="B15" i="2"/>
  <c r="K14" i="2"/>
  <c r="J14" i="2"/>
  <c r="H14" i="2"/>
  <c r="I14" i="2" s="1"/>
  <c r="G14" i="2"/>
  <c r="F14" i="2"/>
  <c r="D14" i="2"/>
  <c r="E14" i="2" s="1"/>
  <c r="B14" i="2"/>
  <c r="J13" i="2"/>
  <c r="K13" i="2" s="1"/>
  <c r="I13" i="2"/>
  <c r="H13" i="2"/>
  <c r="F13" i="2"/>
  <c r="G13" i="2" s="1"/>
  <c r="G20" i="2" s="1"/>
  <c r="E13" i="2"/>
  <c r="D13" i="2"/>
  <c r="B13" i="2"/>
  <c r="I20" i="2" l="1"/>
  <c r="G31" i="2"/>
  <c r="C31" i="2" s="1"/>
  <c r="C32" i="2" s="1"/>
  <c r="D4" i="2" s="1"/>
  <c r="I43" i="2"/>
  <c r="E20" i="2"/>
  <c r="K20" i="2"/>
  <c r="E43" i="2"/>
  <c r="C43" i="2" s="1"/>
  <c r="C44" i="2" s="1"/>
  <c r="D5" i="2" s="1"/>
  <c r="C20" i="2" l="1"/>
  <c r="C21" i="2" s="1"/>
  <c r="C6" i="2" l="1"/>
  <c r="E6" i="2" s="1"/>
  <c r="C4" i="2"/>
  <c r="E4" i="2" s="1"/>
  <c r="C5" i="2"/>
  <c r="E5" i="2" s="1"/>
</calcChain>
</file>

<file path=xl/sharedStrings.xml><?xml version="1.0" encoding="utf-8"?>
<sst xmlns="http://schemas.openxmlformats.org/spreadsheetml/2006/main" count="138" uniqueCount="79">
  <si>
    <t>Indicador de Evaluación</t>
  </si>
  <si>
    <t>Categorías de Respuesta</t>
  </si>
  <si>
    <t>Ponderación del Indicador de Evaluación</t>
  </si>
  <si>
    <r>
      <rPr>
        <b/>
        <sz val="11"/>
        <color rgb="FFFFFFFF"/>
        <rFont val="Calibri"/>
      </rPr>
      <t>Completamente Logrado</t>
    </r>
    <r>
      <rPr>
        <b/>
        <sz val="10"/>
        <color rgb="FFFFFFFF"/>
        <rFont val="Calibri"/>
      </rPr>
      <t xml:space="preserve">  (100%)</t>
    </r>
  </si>
  <si>
    <r>
      <rPr>
        <b/>
        <sz val="11"/>
        <color rgb="FFFFFFFF"/>
        <rFont val="Calibri"/>
      </rPr>
      <t>Logrado</t>
    </r>
    <r>
      <rPr>
        <b/>
        <sz val="10"/>
        <color rgb="FFFFFFFF"/>
        <rFont val="Calibri"/>
      </rPr>
      <t xml:space="preserve">  (60%)</t>
    </r>
  </si>
  <si>
    <t xml:space="preserve">Logro incipiente </t>
  </si>
  <si>
    <t>No logrado</t>
  </si>
  <si>
    <t>1. Implementa una metodología que permite el logro de los objetivos propuestos, de acuerdo a los estándares de la disciplina.</t>
  </si>
  <si>
    <t xml:space="preserve">Describe la metodología utilizada de acuerdo a los estándares de la disciplina, alcanzando todos los objetivos propuestos para el proyecto. </t>
  </si>
  <si>
    <t xml:space="preserve">Describe la metodología utilizada de acuerdo a los estándares de la disciplina, pero cumple parcialmente los objetivos propuestos para el proyecto. </t>
  </si>
  <si>
    <t xml:space="preserve">Describe la metodología utilizada cumpliendo parcialmente con los estándares de la disciplina y con los objetivos propuestos para el proyecto. </t>
  </si>
  <si>
    <t xml:space="preserve">Describe la metodología utilizada sin cumplir los estándares de la disciplina ni los objetivos propuestos para el proyecto. </t>
  </si>
  <si>
    <t>2. 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</si>
  <si>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</si>
  <si>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no cumplen con estándares de desarrollo de la industria</t>
  </si>
  <si>
    <t>Genera evidencias pero ellas no dan cuenta del cumplimiento del Proyecto CAPSTONE, en relación a documentación, programación y almacenamiento de datos, de acuerdo a lo planificado por el equipo, pero si cumple con estándares de desarrollo de la industria</t>
  </si>
  <si>
    <t>Genera evidencias pero ellas no dan cuenta del cumplimiento del Proyecto CAPSTONE, en relación a documentación, programación y almacenamiento de datos, de acuerdo a lo planificado por el equipo, y no cumplen con estándares de desarrollo de la industria</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</si>
  <si>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</si>
  <si>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</si>
  <si>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</si>
  <si>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</si>
  <si>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</si>
  <si>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4.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</si>
  <si>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</si>
  <si>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</si>
  <si>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</si>
  <si>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</si>
  <si>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5.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</si>
  <si>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</si>
  <si>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</si>
  <si>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</si>
  <si>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</si>
  <si>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6. Utiliza correctamente las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</si>
  <si>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</si>
  <si>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</si>
  <si>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</si>
  <si>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</si>
  <si>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7.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</si>
  <si>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</si>
  <si>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</si>
  <si>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</si>
  <si>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</si>
  <si>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8.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</si>
  <si>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</si>
  <si>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</si>
  <si>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</si>
  <si>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</si>
  <si>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9.-Generan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</si>
  <si>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</si>
  <si>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</si>
  <si>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</si>
  <si>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</si>
  <si>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10.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</si>
  <si>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</si>
  <si>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</si>
  <si>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</si>
  <si>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</si>
  <si>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INTEGRANTES</t>
  </si>
  <si>
    <t>GRUPAL</t>
  </si>
  <si>
    <t>INDIVIDUAL</t>
  </si>
  <si>
    <t>Polet Arenas</t>
  </si>
  <si>
    <t>Jarvi Barona</t>
  </si>
  <si>
    <t>Pablo Viedma</t>
  </si>
  <si>
    <t>Nivel de Logro</t>
  </si>
  <si>
    <t>NIVELES DE LOGRO Y PUNTAJES</t>
  </si>
  <si>
    <t>Aspectos a Evaluar</t>
  </si>
  <si>
    <t>Completamente logrado</t>
  </si>
  <si>
    <t>Logrado</t>
  </si>
  <si>
    <t>Logro Incipiente</t>
  </si>
  <si>
    <t>Puntaje</t>
  </si>
  <si>
    <t>Nota</t>
  </si>
  <si>
    <t>NOMBRE ALUMNO</t>
  </si>
  <si>
    <t>Capacidad de Trabajo en Equipo</t>
  </si>
  <si>
    <t>PUNTAJE</t>
  </si>
  <si>
    <t>PUNTOS</t>
  </si>
  <si>
    <t>NOTA</t>
  </si>
  <si>
    <t>Relevancia</t>
  </si>
  <si>
    <t>Logro incipiente</t>
  </si>
  <si>
    <t>Muy Relevante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</si>
</sst>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rgb="FF000000"/>
      <name val="Calibri"/>
      <scheme val="minor"/>
    </font>
    <font>
      <b/>
      <sz val="10"/>
      <color rgb="FFFFFFFF"/>
      <name val="Calibri"/>
    </font>
    <font>
      <sz val="11"/>
      <name val="Calibri"/>
    </font>
    <font>
      <b/>
      <sz val="11"/>
      <color rgb="FFFFFFFF"/>
      <name val="Calibri"/>
    </font>
    <font>
      <sz val="10"/>
      <color rgb="FF000000"/>
      <name val="Calibri"/>
    </font>
    <font>
      <b/>
      <sz val="10"/>
      <color rgb="FF000000"/>
      <name val="Calibri"/>
    </font>
    <font>
      <sz val="10"/>
      <color theme="1"/>
      <name val="Calibri"/>
    </font>
    <font>
      <sz val="11"/>
      <color rgb="FF000000"/>
      <name val="Calibri"/>
    </font>
    <font>
      <b/>
      <sz val="11"/>
      <color rgb="FF000000"/>
      <name val="Calibri"/>
    </font>
    <font>
      <sz val="20"/>
      <color rgb="FF000000"/>
      <name val="Calibri"/>
    </font>
    <font>
      <b/>
      <sz val="14"/>
      <color rgb="FF000000"/>
      <name val="Calibri"/>
    </font>
    <font>
      <sz val="9"/>
      <color rgb="FF000000"/>
      <name val="Calibri"/>
    </font>
    <font>
      <sz val="14"/>
      <color rgb="FF000000"/>
      <name val="Calibri"/>
    </font>
    <font>
      <sz val="16"/>
      <color rgb="FF000000"/>
      <name val="Calibri"/>
    </font>
    <font>
      <sz val="11"/>
      <color theme="1"/>
      <name val="Calibri"/>
      <scheme val="minor"/>
    </font>
  </fonts>
  <fills count="10">
    <fill>
      <patternFill patternType="none"/>
    </fill>
    <fill>
      <patternFill patternType="gray125"/>
    </fill>
    <fill>
      <patternFill patternType="solid">
        <fgColor rgb="FF262626"/>
        <bgColor rgb="FF262626"/>
      </patternFill>
    </fill>
    <fill>
      <patternFill patternType="solid">
        <fgColor rgb="FF92D050"/>
        <bgColor rgb="FF92D050"/>
      </patternFill>
    </fill>
    <fill>
      <patternFill patternType="solid">
        <fgColor rgb="FFECECEC"/>
        <bgColor rgb="FFECECEC"/>
      </patternFill>
    </fill>
    <fill>
      <patternFill patternType="solid">
        <fgColor rgb="FFDEEAF6"/>
        <bgColor rgb="FFDEEAF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1">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7F7F7F"/>
      </left>
      <right style="medium">
        <color rgb="FF7F7F7F"/>
      </right>
      <top style="medium">
        <color rgb="FF7F7F7F"/>
      </top>
      <bottom/>
      <diagonal/>
    </border>
    <border>
      <left style="medium">
        <color rgb="FF7F7F7F"/>
      </left>
      <right style="medium">
        <color rgb="FF7F7F7F"/>
      </right>
      <top style="medium">
        <color rgb="FF7F7F7F"/>
      </top>
      <bottom/>
      <diagonal/>
    </border>
    <border>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right/>
      <top/>
      <bottom style="medium">
        <color rgb="FF7F7F7F"/>
      </bottom>
      <diagonal/>
    </border>
    <border>
      <left style="medium">
        <color rgb="FF7F7F7F"/>
      </left>
      <right style="medium">
        <color rgb="FF7F7F7F"/>
      </right>
      <top/>
      <bottom style="medium">
        <color rgb="FF7F7F7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s>
  <cellStyleXfs count="1">
    <xf numFmtId="0" fontId="0" fillId="0" borderId="0"/>
  </cellStyleXfs>
  <cellXfs count="71">
    <xf numFmtId="0" fontId="0" fillId="0" borderId="0" xfId="0"/>
    <xf numFmtId="0" fontId="3" fillId="2" borderId="6" xfId="0" applyFont="1" applyFill="1" applyBorder="1" applyAlignment="1">
      <alignment horizontal="center" vertical="center" wrapText="1"/>
    </xf>
    <xf numFmtId="0" fontId="1" fillId="2" borderId="6" xfId="0" applyFont="1" applyFill="1" applyBorder="1" applyAlignment="1">
      <alignment horizontal="center" vertical="center" wrapText="1"/>
    </xf>
    <xf numFmtId="9" fontId="1" fillId="2" borderId="6" xfId="0" applyNumberFormat="1" applyFont="1" applyFill="1" applyBorder="1" applyAlignment="1">
      <alignment horizontal="center" vertical="center" wrapText="1"/>
    </xf>
    <xf numFmtId="0" fontId="4" fillId="0" borderId="6" xfId="0" applyFont="1" applyBorder="1" applyAlignment="1">
      <alignment horizontal="left" vertical="center" wrapText="1"/>
    </xf>
    <xf numFmtId="0" fontId="5" fillId="0" borderId="6" xfId="0" applyFont="1" applyBorder="1" applyAlignment="1">
      <alignment horizontal="center" vertical="center" wrapText="1"/>
    </xf>
    <xf numFmtId="0" fontId="4" fillId="3" borderId="6" xfId="0" applyFont="1" applyFill="1" applyBorder="1" applyAlignment="1">
      <alignment horizontal="left" vertical="center" wrapText="1"/>
    </xf>
    <xf numFmtId="0" fontId="4" fillId="3" borderId="8" xfId="0" applyFont="1" applyFill="1" applyBorder="1" applyAlignment="1">
      <alignment horizontal="left" vertical="center" wrapText="1"/>
    </xf>
    <xf numFmtId="0" fontId="4" fillId="0" borderId="9" xfId="0" applyFont="1" applyBorder="1" applyAlignment="1">
      <alignment horizontal="left" vertical="center" wrapText="1"/>
    </xf>
    <xf numFmtId="0" fontId="4" fillId="0" borderId="10" xfId="0" applyFont="1" applyBorder="1" applyAlignment="1">
      <alignment horizontal="left" vertical="center" wrapText="1"/>
    </xf>
    <xf numFmtId="0" fontId="4" fillId="3" borderId="11" xfId="0" applyFont="1" applyFill="1" applyBorder="1" applyAlignment="1">
      <alignment horizontal="left" vertical="center" wrapText="1"/>
    </xf>
    <xf numFmtId="0" fontId="4" fillId="0" borderId="12" xfId="0" applyFont="1" applyBorder="1" applyAlignment="1">
      <alignment horizontal="left" vertical="center" wrapText="1"/>
    </xf>
    <xf numFmtId="0" fontId="4" fillId="0" borderId="13" xfId="0" applyFont="1" applyBorder="1" applyAlignment="1">
      <alignment horizontal="left" vertical="center" wrapText="1"/>
    </xf>
    <xf numFmtId="0" fontId="6" fillId="3" borderId="6" xfId="0" applyFont="1" applyFill="1" applyBorder="1" applyAlignment="1">
      <alignment horizontal="left" vertical="center" wrapText="1"/>
    </xf>
    <xf numFmtId="0" fontId="6" fillId="0" borderId="6" xfId="0" applyFont="1" applyBorder="1" applyAlignment="1">
      <alignment horizontal="left" vertical="center" wrapText="1"/>
    </xf>
    <xf numFmtId="0" fontId="5" fillId="0" borderId="12" xfId="0" applyFont="1" applyBorder="1" applyAlignment="1">
      <alignment horizontal="center" vertical="center" wrapText="1"/>
    </xf>
    <xf numFmtId="0" fontId="4" fillId="0" borderId="14" xfId="0" applyFont="1" applyBorder="1" applyAlignment="1">
      <alignment horizontal="left" vertical="center" wrapText="1"/>
    </xf>
    <xf numFmtId="9" fontId="7" fillId="4" borderId="6" xfId="0" applyNumberFormat="1" applyFont="1" applyFill="1" applyBorder="1" applyAlignment="1">
      <alignment horizontal="center" vertical="center" wrapText="1"/>
    </xf>
    <xf numFmtId="0" fontId="8" fillId="0" borderId="0" xfId="0" applyFont="1"/>
    <xf numFmtId="0" fontId="7" fillId="4" borderId="6" xfId="0" applyFont="1" applyFill="1" applyBorder="1" applyAlignment="1">
      <alignment horizontal="center" vertical="center" wrapText="1"/>
    </xf>
    <xf numFmtId="0" fontId="7" fillId="0" borderId="0" xfId="0" applyFont="1" applyAlignment="1">
      <alignment horizontal="right" vertical="center"/>
    </xf>
    <xf numFmtId="0" fontId="7" fillId="0" borderId="2" xfId="0" applyFont="1" applyBorder="1" applyAlignment="1">
      <alignment horizontal="left"/>
    </xf>
    <xf numFmtId="164" fontId="7" fillId="4" borderId="6" xfId="0" applyNumberFormat="1" applyFont="1" applyFill="1" applyBorder="1" applyAlignment="1">
      <alignment horizontal="center"/>
    </xf>
    <xf numFmtId="164" fontId="7" fillId="5" borderId="6" xfId="0" applyNumberFormat="1" applyFont="1" applyFill="1" applyBorder="1" applyAlignment="1">
      <alignment horizontal="center"/>
    </xf>
    <xf numFmtId="164" fontId="7" fillId="0" borderId="0" xfId="0" applyNumberFormat="1" applyFont="1"/>
    <xf numFmtId="0" fontId="10" fillId="7" borderId="6" xfId="0" applyFont="1" applyFill="1" applyBorder="1" applyAlignment="1">
      <alignment horizontal="center" vertical="center"/>
    </xf>
    <xf numFmtId="0" fontId="5" fillId="7" borderId="15" xfId="0" applyFont="1" applyFill="1" applyBorder="1" applyAlignment="1">
      <alignment horizontal="center" vertical="center"/>
    </xf>
    <xf numFmtId="0" fontId="11" fillId="0" borderId="6" xfId="0" applyFont="1" applyBorder="1" applyAlignment="1">
      <alignment horizontal="left" vertical="center" wrapText="1"/>
    </xf>
    <xf numFmtId="0" fontId="4" fillId="0" borderId="4" xfId="0" applyFont="1" applyBorder="1" applyAlignment="1">
      <alignment horizontal="left" vertical="center"/>
    </xf>
    <xf numFmtId="0" fontId="4" fillId="0" borderId="6" xfId="0" applyFont="1" applyBorder="1" applyAlignment="1">
      <alignment horizontal="center" vertical="center"/>
    </xf>
    <xf numFmtId="0" fontId="11" fillId="0" borderId="7" xfId="0" applyFont="1" applyBorder="1" applyAlignment="1">
      <alignment horizontal="right" vertical="center" wrapText="1"/>
    </xf>
    <xf numFmtId="0" fontId="12" fillId="0" borderId="1" xfId="0" applyFont="1" applyBorder="1"/>
    <xf numFmtId="0" fontId="7" fillId="8" borderId="6" xfId="0" applyFont="1" applyFill="1" applyBorder="1"/>
    <xf numFmtId="0" fontId="11" fillId="0" borderId="2" xfId="0" applyFont="1" applyBorder="1" applyAlignment="1">
      <alignment horizontal="right" vertical="center" wrapText="1"/>
    </xf>
    <xf numFmtId="164" fontId="12" fillId="0" borderId="6" xfId="0" applyNumberFormat="1" applyFont="1" applyBorder="1"/>
    <xf numFmtId="0" fontId="5" fillId="7" borderId="6" xfId="0" applyFont="1" applyFill="1" applyBorder="1" applyAlignment="1">
      <alignment horizontal="center" vertical="center"/>
    </xf>
    <xf numFmtId="0" fontId="8" fillId="0" borderId="6" xfId="0" applyFont="1" applyBorder="1" applyAlignment="1">
      <alignment horizontal="right" vertical="center" wrapText="1"/>
    </xf>
    <xf numFmtId="0" fontId="12" fillId="0" borderId="6" xfId="0" applyFont="1" applyBorder="1"/>
    <xf numFmtId="0" fontId="11" fillId="0" borderId="6" xfId="0" applyFont="1" applyBorder="1" applyAlignment="1">
      <alignment horizontal="right" vertical="center" wrapText="1"/>
    </xf>
    <xf numFmtId="0" fontId="11" fillId="0" borderId="0" xfId="0" applyFont="1" applyAlignment="1">
      <alignment horizontal="right" vertical="center" wrapText="1"/>
    </xf>
    <xf numFmtId="164" fontId="12" fillId="0" borderId="0" xfId="0" applyNumberFormat="1" applyFont="1"/>
    <xf numFmtId="0" fontId="14" fillId="0" borderId="0" xfId="0" applyFont="1"/>
    <xf numFmtId="0" fontId="8" fillId="7" borderId="23" xfId="0" applyFont="1" applyFill="1" applyBorder="1" applyAlignment="1">
      <alignment vertical="center" wrapText="1"/>
    </xf>
    <xf numFmtId="0" fontId="8" fillId="7" borderId="24" xfId="0" applyFont="1" applyFill="1" applyBorder="1" applyAlignment="1">
      <alignment vertical="center" wrapText="1"/>
    </xf>
    <xf numFmtId="0" fontId="8" fillId="7" borderId="25" xfId="0" applyFont="1" applyFill="1" applyBorder="1" applyAlignment="1">
      <alignment vertical="center" wrapText="1"/>
    </xf>
    <xf numFmtId="0" fontId="8" fillId="7" borderId="27" xfId="0" applyFont="1" applyFill="1" applyBorder="1" applyAlignment="1">
      <alignment vertical="center" wrapText="1"/>
    </xf>
    <xf numFmtId="0" fontId="8" fillId="7" borderId="28" xfId="0" applyFont="1" applyFill="1" applyBorder="1" applyAlignment="1">
      <alignment vertical="center" wrapText="1"/>
    </xf>
    <xf numFmtId="0" fontId="8" fillId="7" borderId="29" xfId="0" applyFont="1" applyFill="1" applyBorder="1" applyAlignment="1">
      <alignment vertical="center" wrapText="1"/>
    </xf>
    <xf numFmtId="0" fontId="8" fillId="0" borderId="26" xfId="0" applyFont="1" applyBorder="1" applyAlignment="1">
      <alignment horizontal="left" vertical="center" wrapText="1"/>
    </xf>
    <xf numFmtId="0" fontId="8" fillId="0" borderId="30" xfId="0" applyFont="1" applyBorder="1" applyAlignment="1">
      <alignment horizontal="left" vertical="center" wrapText="1"/>
    </xf>
    <xf numFmtId="0" fontId="1" fillId="2" borderId="1" xfId="0" applyFont="1" applyFill="1" applyBorder="1" applyAlignment="1">
      <alignment horizontal="center" vertical="center" wrapText="1"/>
    </xf>
    <xf numFmtId="0" fontId="2" fillId="0" borderId="5" xfId="0" applyFont="1" applyBorder="1"/>
    <xf numFmtId="0" fontId="2" fillId="0" borderId="7" xfId="0" applyFont="1" applyBorder="1"/>
    <xf numFmtId="0" fontId="1" fillId="2" borderId="2" xfId="0" applyFont="1" applyFill="1" applyBorder="1" applyAlignment="1">
      <alignment horizontal="center" vertical="center" wrapText="1"/>
    </xf>
    <xf numFmtId="0" fontId="2" fillId="0" borderId="3" xfId="0" applyFont="1" applyBorder="1"/>
    <xf numFmtId="0" fontId="2" fillId="0" borderId="4" xfId="0" applyFont="1" applyBorder="1"/>
    <xf numFmtId="0" fontId="3" fillId="2" borderId="1" xfId="0" applyFont="1" applyFill="1" applyBorder="1" applyAlignment="1">
      <alignment horizontal="center" vertical="center" wrapText="1"/>
    </xf>
    <xf numFmtId="0" fontId="9" fillId="6" borderId="1" xfId="0" applyFont="1" applyFill="1" applyBorder="1" applyAlignment="1">
      <alignment horizontal="center" vertical="center" textRotation="255"/>
    </xf>
    <xf numFmtId="0" fontId="7" fillId="9" borderId="1" xfId="0" applyFont="1" applyFill="1" applyBorder="1" applyAlignment="1">
      <alignment horizontal="center" vertical="center" textRotation="255"/>
    </xf>
    <xf numFmtId="0" fontId="7" fillId="5" borderId="1" xfId="0" applyFont="1" applyFill="1" applyBorder="1" applyAlignment="1">
      <alignment horizontal="right" vertical="center"/>
    </xf>
    <xf numFmtId="0" fontId="5" fillId="7" borderId="1" xfId="0" applyFont="1" applyFill="1" applyBorder="1" applyAlignment="1">
      <alignment horizontal="center" vertical="center"/>
    </xf>
    <xf numFmtId="9" fontId="7" fillId="5" borderId="1" xfId="0" applyNumberFormat="1" applyFont="1" applyFill="1" applyBorder="1" applyAlignment="1">
      <alignment horizontal="center" vertical="center"/>
    </xf>
    <xf numFmtId="0" fontId="5" fillId="7" borderId="2" xfId="0" applyFont="1" applyFill="1" applyBorder="1" applyAlignment="1">
      <alignment horizontal="center" vertical="center"/>
    </xf>
    <xf numFmtId="0" fontId="13" fillId="0" borderId="16" xfId="0" applyFont="1" applyBorder="1" applyAlignment="1">
      <alignment horizontal="left" vertical="center"/>
    </xf>
    <xf numFmtId="0" fontId="2" fillId="0" borderId="17" xfId="0" applyFont="1" applyBorder="1"/>
    <xf numFmtId="0" fontId="2" fillId="0" borderId="18" xfId="0" applyFont="1" applyBorder="1"/>
    <xf numFmtId="0" fontId="2" fillId="0" borderId="19" xfId="0" applyFont="1" applyBorder="1"/>
    <xf numFmtId="0" fontId="2" fillId="0" borderId="20" xfId="0" applyFont="1" applyBorder="1"/>
    <xf numFmtId="0" fontId="2" fillId="0" borderId="21" xfId="0" applyFont="1" applyBorder="1"/>
    <xf numFmtId="0" fontId="8" fillId="7" borderId="22" xfId="0" applyFont="1" applyFill="1" applyBorder="1" applyAlignment="1">
      <alignment horizontal="left" vertical="center" wrapText="1"/>
    </xf>
    <xf numFmtId="0" fontId="2" fillId="0" borderId="26"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00"/>
  <sheetViews>
    <sheetView tabSelected="1" workbookViewId="0">
      <selection activeCell="A4" sqref="A4:XFD13"/>
    </sheetView>
  </sheetViews>
  <sheetFormatPr baseColWidth="10" defaultColWidth="14.42578125" defaultRowHeight="15" customHeight="1" x14ac:dyDescent="0.25"/>
  <cols>
    <col min="1" max="6" width="38.7109375" customWidth="1"/>
    <col min="7" max="26" width="11.42578125" customWidth="1"/>
  </cols>
  <sheetData>
    <row r="1" spans="1:6" ht="14.25" customHeight="1" x14ac:dyDescent="0.25">
      <c r="A1" s="50" t="s">
        <v>0</v>
      </c>
      <c r="B1" s="53" t="s">
        <v>1</v>
      </c>
      <c r="C1" s="54"/>
      <c r="D1" s="54"/>
      <c r="E1" s="55"/>
      <c r="F1" s="50" t="s">
        <v>2</v>
      </c>
    </row>
    <row r="2" spans="1:6" ht="14.25" customHeight="1" x14ac:dyDescent="0.25">
      <c r="A2" s="51"/>
      <c r="B2" s="56" t="s">
        <v>3</v>
      </c>
      <c r="C2" s="56" t="s">
        <v>4</v>
      </c>
      <c r="D2" s="1" t="s">
        <v>5</v>
      </c>
      <c r="E2" s="2" t="s">
        <v>6</v>
      </c>
      <c r="F2" s="51"/>
    </row>
    <row r="3" spans="1:6" ht="14.25" customHeight="1" x14ac:dyDescent="0.25">
      <c r="A3" s="52"/>
      <c r="B3" s="52"/>
      <c r="C3" s="52"/>
      <c r="D3" s="3">
        <v>-0.3</v>
      </c>
      <c r="E3" s="3">
        <v>0</v>
      </c>
      <c r="F3" s="52"/>
    </row>
    <row r="4" spans="1:6" ht="51" x14ac:dyDescent="0.25">
      <c r="A4" s="4" t="s">
        <v>7</v>
      </c>
      <c r="B4" s="4" t="s">
        <v>8</v>
      </c>
      <c r="C4" s="4" t="s">
        <v>9</v>
      </c>
      <c r="D4" s="4" t="s">
        <v>10</v>
      </c>
      <c r="E4" s="4" t="s">
        <v>11</v>
      </c>
      <c r="F4" s="5">
        <v>10</v>
      </c>
    </row>
    <row r="5" spans="1:6" ht="76.5" x14ac:dyDescent="0.25">
      <c r="A5" s="6" t="s">
        <v>12</v>
      </c>
      <c r="B5" s="4" t="s">
        <v>13</v>
      </c>
      <c r="C5" s="4" t="s">
        <v>14</v>
      </c>
      <c r="D5" s="4" t="s">
        <v>15</v>
      </c>
      <c r="E5" s="4" t="s">
        <v>16</v>
      </c>
      <c r="F5" s="5">
        <v>20</v>
      </c>
    </row>
    <row r="6" spans="1:6" ht="38.25" x14ac:dyDescent="0.25">
      <c r="A6" s="6" t="s">
        <v>17</v>
      </c>
      <c r="B6" s="4" t="s">
        <v>18</v>
      </c>
      <c r="C6" s="4" t="s">
        <v>19</v>
      </c>
      <c r="D6" s="4" t="s">
        <v>20</v>
      </c>
      <c r="E6" s="4" t="s">
        <v>21</v>
      </c>
      <c r="F6" s="5">
        <v>5</v>
      </c>
    </row>
    <row r="7" spans="1:6" ht="63.75" x14ac:dyDescent="0.25">
      <c r="A7" s="7" t="s">
        <v>22</v>
      </c>
      <c r="B7" s="8" t="s">
        <v>23</v>
      </c>
      <c r="C7" s="8" t="s">
        <v>24</v>
      </c>
      <c r="D7" s="8" t="s">
        <v>25</v>
      </c>
      <c r="E7" s="9" t="s">
        <v>26</v>
      </c>
      <c r="F7" s="5">
        <v>5</v>
      </c>
    </row>
    <row r="8" spans="1:6" ht="38.25" x14ac:dyDescent="0.25">
      <c r="A8" s="6" t="s">
        <v>27</v>
      </c>
      <c r="B8" s="4" t="s">
        <v>28</v>
      </c>
      <c r="C8" s="4" t="s">
        <v>29</v>
      </c>
      <c r="D8" s="4" t="s">
        <v>30</v>
      </c>
      <c r="E8" s="4" t="s">
        <v>31</v>
      </c>
      <c r="F8" s="5">
        <v>5</v>
      </c>
    </row>
    <row r="9" spans="1:6" ht="51" x14ac:dyDescent="0.25">
      <c r="A9" s="6" t="s">
        <v>32</v>
      </c>
      <c r="B9" s="4" t="s">
        <v>33</v>
      </c>
      <c r="C9" s="4" t="s">
        <v>34</v>
      </c>
      <c r="D9" s="4" t="s">
        <v>35</v>
      </c>
      <c r="E9" s="4" t="s">
        <v>36</v>
      </c>
      <c r="F9" s="5">
        <v>5</v>
      </c>
    </row>
    <row r="10" spans="1:6" ht="51" x14ac:dyDescent="0.25">
      <c r="A10" s="6" t="s">
        <v>37</v>
      </c>
      <c r="B10" s="4" t="s">
        <v>38</v>
      </c>
      <c r="C10" s="4" t="s">
        <v>39</v>
      </c>
      <c r="D10" s="4" t="s">
        <v>40</v>
      </c>
      <c r="E10" s="4" t="s">
        <v>41</v>
      </c>
      <c r="F10" s="5">
        <v>15</v>
      </c>
    </row>
    <row r="11" spans="1:6" ht="51" x14ac:dyDescent="0.25">
      <c r="A11" s="10" t="s">
        <v>42</v>
      </c>
      <c r="B11" s="11" t="s">
        <v>43</v>
      </c>
      <c r="C11" s="11" t="s">
        <v>44</v>
      </c>
      <c r="D11" s="11" t="s">
        <v>45</v>
      </c>
      <c r="E11" s="12" t="s">
        <v>46</v>
      </c>
      <c r="F11" s="5">
        <v>10</v>
      </c>
    </row>
    <row r="12" spans="1:6" ht="63.75" x14ac:dyDescent="0.25">
      <c r="A12" s="13" t="s">
        <v>47</v>
      </c>
      <c r="B12" s="14" t="s">
        <v>48</v>
      </c>
      <c r="C12" s="14" t="s">
        <v>49</v>
      </c>
      <c r="D12" s="14" t="s">
        <v>50</v>
      </c>
      <c r="E12" s="14" t="s">
        <v>51</v>
      </c>
      <c r="F12" s="15">
        <v>15</v>
      </c>
    </row>
    <row r="13" spans="1:6" ht="89.25" x14ac:dyDescent="0.25">
      <c r="A13" s="16" t="s">
        <v>52</v>
      </c>
      <c r="B13" s="11" t="s">
        <v>53</v>
      </c>
      <c r="C13" s="11" t="s">
        <v>54</v>
      </c>
      <c r="D13" s="11" t="s">
        <v>55</v>
      </c>
      <c r="E13" s="11" t="s">
        <v>56</v>
      </c>
      <c r="F13" s="5">
        <v>10</v>
      </c>
    </row>
    <row r="14" spans="1:6" ht="14.25" customHeight="1" x14ac:dyDescent="0.25"/>
    <row r="15" spans="1:6" ht="14.25" customHeight="1" x14ac:dyDescent="0.25"/>
    <row r="16" spans="1:6"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5">
    <mergeCell ref="A1:A3"/>
    <mergeCell ref="B1:E1"/>
    <mergeCell ref="F1:F3"/>
    <mergeCell ref="B2:B3"/>
    <mergeCell ref="C2:C3"/>
  </mergeCell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K1000"/>
  <sheetViews>
    <sheetView workbookViewId="0"/>
  </sheetViews>
  <sheetFormatPr baseColWidth="10" defaultColWidth="14.42578125" defaultRowHeight="15" customHeight="1" outlineLevelRow="1" x14ac:dyDescent="0.25"/>
  <cols>
    <col min="1" max="1" width="10.7109375" customWidth="1"/>
    <col min="2" max="2" width="66.85546875" customWidth="1"/>
    <col min="3" max="3" width="22" customWidth="1"/>
    <col min="4" max="4" width="11.28515625" customWidth="1"/>
    <col min="5" max="7" width="11.7109375" customWidth="1"/>
    <col min="8" max="8" width="7.7109375" customWidth="1"/>
    <col min="9" max="9" width="11.7109375" customWidth="1"/>
    <col min="10" max="10" width="7.7109375" customWidth="1"/>
    <col min="11" max="11" width="11.7109375" customWidth="1"/>
  </cols>
  <sheetData>
    <row r="2" spans="1:11" x14ac:dyDescent="0.25">
      <c r="C2" s="17">
        <v>0.75</v>
      </c>
      <c r="D2" s="17">
        <v>0.25</v>
      </c>
      <c r="E2" s="61">
        <v>1</v>
      </c>
    </row>
    <row r="3" spans="1:11" ht="30" x14ac:dyDescent="0.25">
      <c r="B3" s="18" t="s">
        <v>57</v>
      </c>
      <c r="C3" s="19" t="s">
        <v>58</v>
      </c>
      <c r="D3" s="17" t="s">
        <v>59</v>
      </c>
      <c r="E3" s="52"/>
    </row>
    <row r="4" spans="1:11" x14ac:dyDescent="0.25">
      <c r="A4" s="20">
        <v>1</v>
      </c>
      <c r="B4" s="21" t="s">
        <v>60</v>
      </c>
      <c r="C4" s="22">
        <f>EVALUACION1!$C$21</f>
        <v>7</v>
      </c>
      <c r="D4" s="22">
        <f>$C$32</f>
        <v>7</v>
      </c>
      <c r="E4" s="23">
        <f t="shared" ref="E4:E6" si="0">C4*C$2+D4*D$2</f>
        <v>7</v>
      </c>
      <c r="G4" s="24"/>
    </row>
    <row r="5" spans="1:11" x14ac:dyDescent="0.25">
      <c r="A5" s="20">
        <v>2</v>
      </c>
      <c r="B5" s="21" t="s">
        <v>61</v>
      </c>
      <c r="C5" s="22">
        <f>EVALUACION1!$C$21</f>
        <v>7</v>
      </c>
      <c r="D5" s="22">
        <f>C44</f>
        <v>7</v>
      </c>
      <c r="E5" s="23">
        <f t="shared" si="0"/>
        <v>7</v>
      </c>
      <c r="G5" s="24"/>
    </row>
    <row r="6" spans="1:11" x14ac:dyDescent="0.25">
      <c r="A6" s="20">
        <v>3</v>
      </c>
      <c r="B6" s="21" t="s">
        <v>62</v>
      </c>
      <c r="C6" s="22">
        <f>EVALUACION1!$C$21</f>
        <v>7</v>
      </c>
      <c r="D6" s="22">
        <f>C55</f>
        <v>7</v>
      </c>
      <c r="E6" s="23">
        <f t="shared" si="0"/>
        <v>7</v>
      </c>
      <c r="G6" s="24"/>
    </row>
    <row r="11" spans="1:11" ht="18.75" outlineLevel="1" x14ac:dyDescent="0.25">
      <c r="A11" s="57" t="s">
        <v>58</v>
      </c>
      <c r="B11" s="25"/>
      <c r="C11" s="60" t="s">
        <v>63</v>
      </c>
      <c r="D11" s="62" t="s">
        <v>64</v>
      </c>
      <c r="E11" s="54"/>
      <c r="F11" s="54"/>
      <c r="G11" s="54"/>
      <c r="H11" s="54"/>
      <c r="I11" s="54"/>
      <c r="J11" s="54"/>
      <c r="K11" s="55"/>
    </row>
    <row r="12" spans="1:11" outlineLevel="1" x14ac:dyDescent="0.25">
      <c r="A12" s="51"/>
      <c r="B12" s="26" t="s">
        <v>65</v>
      </c>
      <c r="C12" s="52"/>
      <c r="D12" s="62" t="s">
        <v>66</v>
      </c>
      <c r="E12" s="55"/>
      <c r="F12" s="62" t="s">
        <v>67</v>
      </c>
      <c r="G12" s="55"/>
      <c r="H12" s="62" t="s">
        <v>68</v>
      </c>
      <c r="I12" s="55"/>
      <c r="J12" s="62" t="s">
        <v>6</v>
      </c>
      <c r="K12" s="55"/>
    </row>
    <row r="13" spans="1:11" ht="24" outlineLevel="1" x14ac:dyDescent="0.25">
      <c r="A13" s="51"/>
      <c r="B13" s="27" t="str">
        <f>RUBRICA!A4</f>
        <v>1. Implementa una metodología que permite el logro de los objetivos propuestos, de acuerdo a los estándares de la disciplina.</v>
      </c>
      <c r="C13" s="28" t="s">
        <v>66</v>
      </c>
      <c r="D13" s="29" t="str">
        <f t="shared" ref="D13:D19" si="1">IF($C13=CL,"X","")</f>
        <v>X</v>
      </c>
      <c r="E13" s="29">
        <f>IF(D13="X",100*0.1,"")</f>
        <v>10</v>
      </c>
      <c r="F13" s="29" t="str">
        <f t="shared" ref="F13:F19" si="2">IF($C13=L,"X","")</f>
        <v/>
      </c>
      <c r="G13" s="29" t="str">
        <f>IF(F13="X",60*0.1,"")</f>
        <v/>
      </c>
      <c r="H13" s="29" t="str">
        <f t="shared" ref="H13:H19" si="3">IF($C13=ML,"X","")</f>
        <v/>
      </c>
      <c r="I13" s="29" t="str">
        <f>IF(H13="X",30*0.1,"")</f>
        <v/>
      </c>
      <c r="J13" s="29" t="str">
        <f t="shared" ref="J13:J19" si="4">IF($C13=NL,"X","")</f>
        <v/>
      </c>
      <c r="K13" s="29" t="str">
        <f t="shared" ref="K13:K19" si="5">IF($J13="X",0,"")</f>
        <v/>
      </c>
    </row>
    <row r="14" spans="1:11" ht="48" outlineLevel="1" x14ac:dyDescent="0.25">
      <c r="A14" s="51"/>
      <c r="B14" s="27" t="str">
        <f>RUBRICA!A5</f>
        <v>2. Genera evidencias que dan cuenta del cumplimiento del Proyecto CAPSTONE, en relación a documentación, programación y almacenamiento de datos, de acuerdo a lo planificado por el equipo y que cumpla con estándares de desarrollo de la industria</v>
      </c>
      <c r="C14" s="28" t="s">
        <v>66</v>
      </c>
      <c r="D14" s="29" t="str">
        <f t="shared" si="1"/>
        <v>X</v>
      </c>
      <c r="E14" s="29">
        <f>IF(D14="X",100*0.2,"")</f>
        <v>20</v>
      </c>
      <c r="F14" s="29" t="str">
        <f t="shared" si="2"/>
        <v/>
      </c>
      <c r="G14" s="29" t="str">
        <f>IF(F14="X",60*0.2,"")</f>
        <v/>
      </c>
      <c r="H14" s="29" t="str">
        <f t="shared" si="3"/>
        <v/>
      </c>
      <c r="I14" s="29" t="str">
        <f>IF(H14="X",30*0.2,"")</f>
        <v/>
      </c>
      <c r="J14" s="29" t="str">
        <f t="shared" si="4"/>
        <v/>
      </c>
      <c r="K14" s="29" t="str">
        <f t="shared" si="5"/>
        <v/>
      </c>
    </row>
    <row r="15" spans="1:11" ht="24" outlineLevel="1" x14ac:dyDescent="0.25">
      <c r="A15" s="51"/>
      <c r="B15" s="27" t="str">
        <f>RUBRICA!A7</f>
        <v>4. Relaciona el Proyecto APT con las competencias del perfil de egreso de su Plan de Estudio.</v>
      </c>
      <c r="C15" s="28" t="s">
        <v>66</v>
      </c>
      <c r="D15" s="29" t="str">
        <f t="shared" si="1"/>
        <v>X</v>
      </c>
      <c r="E15" s="29">
        <f t="shared" ref="E15:E17" si="6">IF(D15="X",100*0.05,"")</f>
        <v>5</v>
      </c>
      <c r="F15" s="29" t="str">
        <f t="shared" si="2"/>
        <v/>
      </c>
      <c r="G15" s="29" t="str">
        <f t="shared" ref="G15:G17" si="7">IF(F15="X",60*0.05,"")</f>
        <v/>
      </c>
      <c r="H15" s="29" t="str">
        <f t="shared" si="3"/>
        <v/>
      </c>
      <c r="I15" s="29" t="str">
        <f t="shared" ref="I15:I17" si="8">IF(H15="X",30*0.05,"")</f>
        <v/>
      </c>
      <c r="J15" s="29" t="str">
        <f t="shared" si="4"/>
        <v/>
      </c>
      <c r="K15" s="29" t="str">
        <f t="shared" si="5"/>
        <v/>
      </c>
    </row>
    <row r="16" spans="1:11" ht="24" outlineLevel="1" x14ac:dyDescent="0.25">
      <c r="A16" s="51"/>
      <c r="B16" s="27" t="str">
        <f>RUBRICA!A8</f>
        <v>5. Utiliza de manera precisa el lenguaje técnico en los entregables de acuerdo con lo requerido por la disciplina.</v>
      </c>
      <c r="C16" s="28" t="s">
        <v>66</v>
      </c>
      <c r="D16" s="29" t="str">
        <f t="shared" si="1"/>
        <v>X</v>
      </c>
      <c r="E16" s="29">
        <f t="shared" si="6"/>
        <v>5</v>
      </c>
      <c r="F16" s="29" t="str">
        <f t="shared" si="2"/>
        <v/>
      </c>
      <c r="G16" s="29" t="str">
        <f t="shared" si="7"/>
        <v/>
      </c>
      <c r="H16" s="29" t="str">
        <f t="shared" si="3"/>
        <v/>
      </c>
      <c r="I16" s="29" t="str">
        <f t="shared" si="8"/>
        <v/>
      </c>
      <c r="J16" s="29" t="str">
        <f t="shared" si="4"/>
        <v/>
      </c>
      <c r="K16" s="29" t="str">
        <f t="shared" si="5"/>
        <v/>
      </c>
    </row>
    <row r="17" spans="1:11" ht="24" outlineLevel="1" x14ac:dyDescent="0.25">
      <c r="A17" s="51"/>
      <c r="B17" s="27" t="str">
        <f>RUBRICA!A9</f>
        <v xml:space="preserve">6. Utiliza correctamente las reglas de redacción, ortografía (literal, puntual, acentual) y las normas para citas y referencias. </v>
      </c>
      <c r="C17" s="28" t="s">
        <v>66</v>
      </c>
      <c r="D17" s="29" t="str">
        <f t="shared" si="1"/>
        <v>X</v>
      </c>
      <c r="E17" s="29">
        <f t="shared" si="6"/>
        <v>5</v>
      </c>
      <c r="F17" s="29" t="str">
        <f t="shared" si="2"/>
        <v/>
      </c>
      <c r="G17" s="29" t="str">
        <f t="shared" si="7"/>
        <v/>
      </c>
      <c r="H17" s="29" t="str">
        <f t="shared" si="3"/>
        <v/>
      </c>
      <c r="I17" s="29" t="str">
        <f t="shared" si="8"/>
        <v/>
      </c>
      <c r="J17" s="29" t="str">
        <f t="shared" si="4"/>
        <v/>
      </c>
      <c r="K17" s="29" t="str">
        <f t="shared" si="5"/>
        <v/>
      </c>
    </row>
    <row r="18" spans="1:11" ht="36" outlineLevel="1" x14ac:dyDescent="0.25">
      <c r="A18" s="51"/>
      <c r="B18" s="27" t="str">
        <f>RUBRICA!A10</f>
        <v>7. Entrega la documentación y evidencias requerida por la asignatura de acuerdo a la estrucutra y nombres solicitados, guardando todas las evidencias de avances en Git</v>
      </c>
      <c r="C18" s="28" t="s">
        <v>66</v>
      </c>
      <c r="D18" s="29" t="str">
        <f t="shared" si="1"/>
        <v>X</v>
      </c>
      <c r="E18" s="29">
        <f t="shared" ref="E18:E19" si="9">IF(D18="X",100*0.15,"")</f>
        <v>15</v>
      </c>
      <c r="F18" s="29" t="str">
        <f t="shared" si="2"/>
        <v/>
      </c>
      <c r="G18" s="29" t="str">
        <f t="shared" ref="G18:G19" si="10">IF(F18="X",60*0.15,"")</f>
        <v/>
      </c>
      <c r="H18" s="29" t="str">
        <f t="shared" si="3"/>
        <v/>
      </c>
      <c r="I18" s="29" t="str">
        <f t="shared" ref="I18:I19" si="11">IF(H18="X",30*0.15,"")</f>
        <v/>
      </c>
      <c r="J18" s="29" t="str">
        <f t="shared" si="4"/>
        <v/>
      </c>
      <c r="K18" s="29" t="str">
        <f t="shared" si="5"/>
        <v/>
      </c>
    </row>
    <row r="19" spans="1:11" ht="22.5" customHeight="1" outlineLevel="1" x14ac:dyDescent="0.25">
      <c r="A19" s="51"/>
      <c r="B19" s="27" t="str">
        <f>RUBRICA!A12</f>
        <v>9.-Generan evidencias claras dentro del repositorio  del aporte de cada uno de los integrantes del equipo que permitan identificar la equidad en el trabajo y la participación de cada estudiante.</v>
      </c>
      <c r="C19" s="28" t="s">
        <v>66</v>
      </c>
      <c r="D19" s="29" t="str">
        <f t="shared" si="1"/>
        <v>X</v>
      </c>
      <c r="E19" s="29">
        <f t="shared" si="9"/>
        <v>15</v>
      </c>
      <c r="F19" s="29" t="str">
        <f t="shared" si="2"/>
        <v/>
      </c>
      <c r="G19" s="29" t="str">
        <f t="shared" si="10"/>
        <v/>
      </c>
      <c r="H19" s="29" t="str">
        <f t="shared" si="3"/>
        <v/>
      </c>
      <c r="I19" s="29" t="str">
        <f t="shared" si="11"/>
        <v/>
      </c>
      <c r="J19" s="29" t="str">
        <f t="shared" si="4"/>
        <v/>
      </c>
      <c r="K19" s="29" t="str">
        <f t="shared" si="5"/>
        <v/>
      </c>
    </row>
    <row r="20" spans="1:11" ht="15.75" customHeight="1" outlineLevel="1" x14ac:dyDescent="0.3">
      <c r="A20" s="51"/>
      <c r="B20" s="30" t="s">
        <v>69</v>
      </c>
      <c r="C20" s="31">
        <f>E20+G20+I20+K20</f>
        <v>75</v>
      </c>
      <c r="D20" s="32"/>
      <c r="E20" s="32">
        <f>SUM(E13:E19)</f>
        <v>75</v>
      </c>
      <c r="F20" s="32"/>
      <c r="G20" s="32">
        <f>SUM(G13:G19)</f>
        <v>0</v>
      </c>
      <c r="H20" s="32"/>
      <c r="I20" s="32">
        <f>SUM(I13:I19)</f>
        <v>0</v>
      </c>
      <c r="J20" s="32"/>
      <c r="K20" s="32">
        <f>SUM(K13:K19)</f>
        <v>0</v>
      </c>
    </row>
    <row r="21" spans="1:11" ht="15.75" customHeight="1" outlineLevel="1" x14ac:dyDescent="0.3">
      <c r="A21" s="52"/>
      <c r="B21" s="33" t="s">
        <v>70</v>
      </c>
      <c r="C21" s="34">
        <f>VLOOKUP(C20,ESCALA_IEP!A1:B152,2,FALSE)</f>
        <v>7</v>
      </c>
    </row>
    <row r="22" spans="1:11" ht="15.75" customHeight="1" x14ac:dyDescent="0.25"/>
    <row r="23" spans="1:11" ht="15.75" customHeight="1" x14ac:dyDescent="0.25"/>
    <row r="24" spans="1:11" ht="15.75" customHeight="1" x14ac:dyDescent="0.25">
      <c r="A24" s="58" t="s">
        <v>59</v>
      </c>
      <c r="B24" s="59" t="s">
        <v>71</v>
      </c>
      <c r="C24" s="63" t="str">
        <f>$B$4</f>
        <v>Polet Arenas</v>
      </c>
      <c r="D24" s="64"/>
      <c r="E24" s="64"/>
      <c r="F24" s="64"/>
      <c r="G24" s="64"/>
      <c r="H24" s="64"/>
      <c r="I24" s="64"/>
      <c r="J24" s="64"/>
      <c r="K24" s="65"/>
    </row>
    <row r="25" spans="1:11" ht="15.75" customHeight="1" x14ac:dyDescent="0.25">
      <c r="A25" s="51"/>
      <c r="B25" s="52"/>
      <c r="C25" s="66"/>
      <c r="D25" s="67"/>
      <c r="E25" s="67"/>
      <c r="F25" s="67"/>
      <c r="G25" s="67"/>
      <c r="H25" s="67"/>
      <c r="I25" s="67"/>
      <c r="J25" s="67"/>
      <c r="K25" s="68"/>
    </row>
    <row r="26" spans="1:11" ht="15.75" customHeight="1" x14ac:dyDescent="0.25">
      <c r="A26" s="51"/>
      <c r="B26" s="25" t="s">
        <v>72</v>
      </c>
      <c r="C26" s="60" t="s">
        <v>63</v>
      </c>
      <c r="D26" s="62" t="s">
        <v>64</v>
      </c>
      <c r="E26" s="54"/>
      <c r="F26" s="54"/>
      <c r="G26" s="54"/>
      <c r="H26" s="54"/>
      <c r="I26" s="54"/>
      <c r="J26" s="54"/>
      <c r="K26" s="55"/>
    </row>
    <row r="27" spans="1:11" ht="15.75" customHeight="1" x14ac:dyDescent="0.25">
      <c r="A27" s="51"/>
      <c r="B27" s="35" t="s">
        <v>65</v>
      </c>
      <c r="C27" s="52"/>
      <c r="D27" s="62" t="s">
        <v>66</v>
      </c>
      <c r="E27" s="55"/>
      <c r="F27" s="62" t="s">
        <v>67</v>
      </c>
      <c r="G27" s="55"/>
      <c r="H27" s="62" t="s">
        <v>68</v>
      </c>
      <c r="I27" s="55"/>
      <c r="J27" s="62" t="s">
        <v>6</v>
      </c>
      <c r="K27" s="55"/>
    </row>
    <row r="28" spans="1:11" ht="15.75" customHeight="1" x14ac:dyDescent="0.25">
      <c r="A28" s="51"/>
      <c r="B28" s="27" t="str">
        <f>RUBRICA!A6</f>
        <v>3. Relaciona el Proyecto APT con sus intereses profesionales. *</v>
      </c>
      <c r="C28" s="28" t="s">
        <v>66</v>
      </c>
      <c r="D28" s="29" t="str">
        <f>IF($C28=CL,"X","")</f>
        <v>X</v>
      </c>
      <c r="E28" s="29">
        <f>IF(D28="X",100*0.05,"")</f>
        <v>5</v>
      </c>
      <c r="F28" s="29" t="str">
        <f>IF($C28=L,"X","")</f>
        <v/>
      </c>
      <c r="G28" s="29" t="str">
        <f>IF(F28="X",60*0.05,"")</f>
        <v/>
      </c>
      <c r="H28" s="29" t="str">
        <f>IF($C28=ML,"X","")</f>
        <v/>
      </c>
      <c r="I28" s="29" t="str">
        <f>IF(H28="X",30*0.05,"")</f>
        <v/>
      </c>
      <c r="J28" s="29" t="str">
        <f>IF($C28=NL,"X","")</f>
        <v/>
      </c>
      <c r="K28" s="29" t="str">
        <f t="shared" ref="K28:K30" si="12">IF($J28="X",0,"")</f>
        <v/>
      </c>
    </row>
    <row r="29" spans="1:11" ht="24" customHeight="1" x14ac:dyDescent="0.25">
      <c r="A29" s="51"/>
      <c r="B29" s="27" t="str">
        <f>RUBRICA!A11</f>
        <v>8. Expone el tema utilizando un lenguaje técnico disciplinar al presentar la propuesta y responde evidenciando un manejo de la información. *</v>
      </c>
      <c r="C29" s="28" t="s">
        <v>66</v>
      </c>
      <c r="D29" s="29" t="str">
        <f>IF($C29=CL,"X","")</f>
        <v>X</v>
      </c>
      <c r="E29" s="29">
        <f t="shared" ref="E29:E30" si="13">IF(D29="X",100*0.1,"")</f>
        <v>10</v>
      </c>
      <c r="F29" s="29" t="str">
        <f>IF($C29=L,"X","")</f>
        <v/>
      </c>
      <c r="G29" s="29" t="str">
        <f t="shared" ref="G29:G30" si="14">IF(F29="X",60*0.1,"")</f>
        <v/>
      </c>
      <c r="H29" s="29" t="str">
        <f>IF($C29=ML,"X","")</f>
        <v/>
      </c>
      <c r="I29" s="29" t="str">
        <f t="shared" ref="I29:I30" si="15">IF(H29="X",30*0.1,"")</f>
        <v/>
      </c>
      <c r="J29" s="29" t="str">
        <f>IF($C29=NL,"X","")</f>
        <v/>
      </c>
      <c r="K29" s="29" t="str">
        <f t="shared" si="12"/>
        <v/>
      </c>
    </row>
    <row r="30" spans="1:11" ht="25.5" customHeight="1" x14ac:dyDescent="0.25">
      <c r="A30" s="51"/>
      <c r="B30" s="27" t="str">
        <f>RUBRICA!A13</f>
        <v>10. Colaboración y trabajo en equipo *</v>
      </c>
      <c r="C30" s="28" t="s">
        <v>66</v>
      </c>
      <c r="D30" s="29" t="str">
        <f>IF($C30=CL,"X","")</f>
        <v>X</v>
      </c>
      <c r="E30" s="29">
        <f t="shared" si="13"/>
        <v>10</v>
      </c>
      <c r="F30" s="29" t="str">
        <f>IF($C30=L,"X","")</f>
        <v/>
      </c>
      <c r="G30" s="29" t="str">
        <f t="shared" si="14"/>
        <v/>
      </c>
      <c r="H30" s="29" t="str">
        <f>IF($C30=ML,"X","")</f>
        <v/>
      </c>
      <c r="I30" s="29" t="str">
        <f t="shared" si="15"/>
        <v/>
      </c>
      <c r="J30" s="29" t="str">
        <f>IF($C30=NL,"X","")</f>
        <v/>
      </c>
      <c r="K30" s="29" t="str">
        <f t="shared" si="12"/>
        <v/>
      </c>
    </row>
    <row r="31" spans="1:11" ht="15.75" customHeight="1" x14ac:dyDescent="0.3">
      <c r="A31" s="51"/>
      <c r="B31" s="36" t="s">
        <v>73</v>
      </c>
      <c r="C31" s="37">
        <f>E31+G31+I31+K31</f>
        <v>25</v>
      </c>
      <c r="D31" s="32"/>
      <c r="E31" s="32">
        <f>SUM(E28:E30)</f>
        <v>25</v>
      </c>
      <c r="F31" s="32"/>
      <c r="G31" s="32">
        <f>SUM(G28:G30)</f>
        <v>0</v>
      </c>
      <c r="H31" s="32"/>
      <c r="I31" s="32">
        <f>SUM(I28:I30)</f>
        <v>0</v>
      </c>
      <c r="J31" s="32"/>
      <c r="K31" s="32">
        <f>SUM(K29:K30)</f>
        <v>0</v>
      </c>
    </row>
    <row r="32" spans="1:11" ht="15.75" customHeight="1" x14ac:dyDescent="0.3">
      <c r="A32" s="52"/>
      <c r="B32" s="38" t="s">
        <v>70</v>
      </c>
      <c r="C32" s="34">
        <f>VLOOKUP(C31,ESCALA_TRAB_EQUIP!A1:B52,2,FALSE)</f>
        <v>7</v>
      </c>
    </row>
    <row r="33" spans="1:11" ht="15.75" customHeight="1" x14ac:dyDescent="0.3">
      <c r="B33" s="39"/>
      <c r="C33" s="40"/>
    </row>
    <row r="34" spans="1:11" ht="15.75" customHeight="1" x14ac:dyDescent="0.3">
      <c r="B34" s="39"/>
      <c r="C34" s="40"/>
    </row>
    <row r="35" spans="1:11" ht="15.75" customHeight="1" x14ac:dyDescent="0.25"/>
    <row r="36" spans="1:11" ht="15.75" customHeight="1" x14ac:dyDescent="0.25">
      <c r="A36" s="58" t="s">
        <v>59</v>
      </c>
      <c r="B36" s="59" t="s">
        <v>71</v>
      </c>
      <c r="C36" s="63" t="str">
        <f>B5</f>
        <v>Jarvi Barona</v>
      </c>
      <c r="D36" s="64"/>
      <c r="E36" s="64"/>
      <c r="F36" s="64"/>
      <c r="G36" s="64"/>
      <c r="H36" s="64"/>
      <c r="I36" s="64"/>
      <c r="J36" s="64"/>
      <c r="K36" s="65"/>
    </row>
    <row r="37" spans="1:11" ht="15.75" customHeight="1" x14ac:dyDescent="0.25">
      <c r="A37" s="51"/>
      <c r="B37" s="52"/>
      <c r="C37" s="66"/>
      <c r="D37" s="67"/>
      <c r="E37" s="67"/>
      <c r="F37" s="67"/>
      <c r="G37" s="67"/>
      <c r="H37" s="67"/>
      <c r="I37" s="67"/>
      <c r="J37" s="67"/>
      <c r="K37" s="68"/>
    </row>
    <row r="38" spans="1:11" ht="15.75" customHeight="1" x14ac:dyDescent="0.25">
      <c r="A38" s="51"/>
      <c r="B38" s="25" t="s">
        <v>72</v>
      </c>
      <c r="C38" s="60" t="s">
        <v>63</v>
      </c>
      <c r="D38" s="62" t="s">
        <v>64</v>
      </c>
      <c r="E38" s="54"/>
      <c r="F38" s="54"/>
      <c r="G38" s="54"/>
      <c r="H38" s="54"/>
      <c r="I38" s="54"/>
      <c r="J38" s="54"/>
      <c r="K38" s="55"/>
    </row>
    <row r="39" spans="1:11" ht="15.75" customHeight="1" x14ac:dyDescent="0.25">
      <c r="A39" s="51"/>
      <c r="B39" s="35" t="s">
        <v>65</v>
      </c>
      <c r="C39" s="52"/>
      <c r="D39" s="62" t="s">
        <v>66</v>
      </c>
      <c r="E39" s="55"/>
      <c r="F39" s="62" t="s">
        <v>67</v>
      </c>
      <c r="G39" s="55"/>
      <c r="H39" s="62" t="s">
        <v>68</v>
      </c>
      <c r="I39" s="55"/>
      <c r="J39" s="62" t="s">
        <v>6</v>
      </c>
      <c r="K39" s="55"/>
    </row>
    <row r="40" spans="1:11" ht="15.75" customHeight="1" x14ac:dyDescent="0.25">
      <c r="A40" s="51"/>
      <c r="B40" s="27" t="str">
        <f>RUBRICA!A6</f>
        <v>3. Relaciona el Proyecto APT con sus intereses profesionales. *</v>
      </c>
      <c r="C40" s="28" t="s">
        <v>66</v>
      </c>
      <c r="D40" s="29" t="str">
        <f>IF($C40=CL,"X","")</f>
        <v>X</v>
      </c>
      <c r="E40" s="29">
        <f>IF(D40="X",100*0.05,"")</f>
        <v>5</v>
      </c>
      <c r="F40" s="29" t="str">
        <f>IF($C40=L,"X","")</f>
        <v/>
      </c>
      <c r="G40" s="29" t="str">
        <f>IF(F40="X",60*0.05,"")</f>
        <v/>
      </c>
      <c r="H40" s="29" t="str">
        <f>IF($C40=ML,"X","")</f>
        <v/>
      </c>
      <c r="I40" s="29" t="str">
        <f>IF(H40="X",30*0.05,"")</f>
        <v/>
      </c>
      <c r="J40" s="29" t="str">
        <f>IF($C40=NL,"X","")</f>
        <v/>
      </c>
      <c r="K40" s="29" t="str">
        <f t="shared" ref="K40:K42" si="16">IF($J40="X",0,"")</f>
        <v/>
      </c>
    </row>
    <row r="41" spans="1:11" ht="25.5" customHeight="1" x14ac:dyDescent="0.25">
      <c r="A41" s="51"/>
      <c r="B41" s="27" t="str">
        <f>RUBRICA!A11</f>
        <v>8. Expone el tema utilizando un lenguaje técnico disciplinar al presentar la propuesta y responde evidenciando un manejo de la información. *</v>
      </c>
      <c r="C41" s="28" t="s">
        <v>66</v>
      </c>
      <c r="D41" s="29" t="str">
        <f>IF($C41=CL,"X","")</f>
        <v>X</v>
      </c>
      <c r="E41" s="29">
        <f t="shared" ref="E41:E42" si="17">IF(D41="X",100*0.1,"")</f>
        <v>10</v>
      </c>
      <c r="F41" s="29" t="str">
        <f>IF($C41=L,"X","")</f>
        <v/>
      </c>
      <c r="G41" s="29" t="str">
        <f t="shared" ref="G41:G42" si="18">IF(F41="X",60*0.1,"")</f>
        <v/>
      </c>
      <c r="H41" s="29" t="str">
        <f>IF($C41=ML,"X","")</f>
        <v/>
      </c>
      <c r="I41" s="29" t="str">
        <f t="shared" ref="I41:I42" si="19">IF(H41="X",30*0.1,"")</f>
        <v/>
      </c>
      <c r="J41" s="29" t="str">
        <f>IF($C41=NL,"X","")</f>
        <v/>
      </c>
      <c r="K41" s="29" t="str">
        <f t="shared" si="16"/>
        <v/>
      </c>
    </row>
    <row r="42" spans="1:11" ht="15.75" customHeight="1" x14ac:dyDescent="0.25">
      <c r="A42" s="51"/>
      <c r="B42" s="27" t="str">
        <f>RUBRICA!A13</f>
        <v>10. Colaboración y trabajo en equipo *</v>
      </c>
      <c r="C42" s="28" t="s">
        <v>66</v>
      </c>
      <c r="D42" s="29" t="str">
        <f>IF($C42=CL,"X","")</f>
        <v>X</v>
      </c>
      <c r="E42" s="29">
        <f t="shared" si="17"/>
        <v>10</v>
      </c>
      <c r="F42" s="29" t="str">
        <f>IF($C42=L,"X","")</f>
        <v/>
      </c>
      <c r="G42" s="29" t="str">
        <f t="shared" si="18"/>
        <v/>
      </c>
      <c r="H42" s="29" t="str">
        <f>IF($C42=ML,"X","")</f>
        <v/>
      </c>
      <c r="I42" s="29" t="str">
        <f t="shared" si="19"/>
        <v/>
      </c>
      <c r="J42" s="29" t="str">
        <f>IF($C42=NL,"X","")</f>
        <v/>
      </c>
      <c r="K42" s="29" t="str">
        <f t="shared" si="16"/>
        <v/>
      </c>
    </row>
    <row r="43" spans="1:11" ht="15.75" customHeight="1" x14ac:dyDescent="0.3">
      <c r="A43" s="51"/>
      <c r="B43" s="36" t="s">
        <v>73</v>
      </c>
      <c r="C43" s="37">
        <f>E43+G43+I43+K43</f>
        <v>25</v>
      </c>
      <c r="D43" s="32"/>
      <c r="E43" s="32">
        <f>SUM(E40:E42)</f>
        <v>25</v>
      </c>
      <c r="F43" s="32"/>
      <c r="G43" s="32">
        <f>SUM(G40:G42)</f>
        <v>0</v>
      </c>
      <c r="H43" s="32"/>
      <c r="I43" s="32">
        <f>SUM(I40:I42)</f>
        <v>0</v>
      </c>
      <c r="J43" s="32"/>
      <c r="K43" s="32">
        <f>SUM(K41:K42)</f>
        <v>0</v>
      </c>
    </row>
    <row r="44" spans="1:11" ht="15.75" customHeight="1" x14ac:dyDescent="0.3">
      <c r="A44" s="52"/>
      <c r="B44" s="38" t="s">
        <v>70</v>
      </c>
      <c r="C44" s="34">
        <f>VLOOKUP(C43,ESCALA_TRAB_EQUIP!A1:B52,2,FALSE)</f>
        <v>7</v>
      </c>
    </row>
    <row r="45" spans="1:11" ht="15.75" customHeight="1" x14ac:dyDescent="0.3">
      <c r="B45" s="39"/>
      <c r="C45" s="40"/>
    </row>
    <row r="46" spans="1:11" ht="15.75" customHeight="1" x14ac:dyDescent="0.3">
      <c r="B46" s="39"/>
      <c r="C46" s="40"/>
    </row>
    <row r="47" spans="1:11" ht="15.75" customHeight="1" x14ac:dyDescent="0.25">
      <c r="A47" s="58" t="s">
        <v>59</v>
      </c>
      <c r="B47" s="59" t="s">
        <v>71</v>
      </c>
      <c r="C47" s="63" t="str">
        <f>B6</f>
        <v>Pablo Viedma</v>
      </c>
      <c r="D47" s="64"/>
      <c r="E47" s="64"/>
      <c r="F47" s="64"/>
      <c r="G47" s="64"/>
      <c r="H47" s="64"/>
      <c r="I47" s="64"/>
      <c r="J47" s="64"/>
      <c r="K47" s="65"/>
    </row>
    <row r="48" spans="1:11" ht="15.75" customHeight="1" x14ac:dyDescent="0.25">
      <c r="A48" s="51"/>
      <c r="B48" s="52"/>
      <c r="C48" s="66"/>
      <c r="D48" s="67"/>
      <c r="E48" s="67"/>
      <c r="F48" s="67"/>
      <c r="G48" s="67"/>
      <c r="H48" s="67"/>
      <c r="I48" s="67"/>
      <c r="J48" s="67"/>
      <c r="K48" s="68"/>
    </row>
    <row r="49" spans="1:11" ht="15.75" customHeight="1" x14ac:dyDescent="0.25">
      <c r="A49" s="51"/>
      <c r="B49" s="25" t="s">
        <v>72</v>
      </c>
      <c r="C49" s="60" t="s">
        <v>63</v>
      </c>
      <c r="D49" s="62" t="s">
        <v>64</v>
      </c>
      <c r="E49" s="54"/>
      <c r="F49" s="54"/>
      <c r="G49" s="54"/>
      <c r="H49" s="54"/>
      <c r="I49" s="54"/>
      <c r="J49" s="54"/>
      <c r="K49" s="55"/>
    </row>
    <row r="50" spans="1:11" ht="15.75" customHeight="1" x14ac:dyDescent="0.25">
      <c r="A50" s="51"/>
      <c r="B50" s="35" t="s">
        <v>65</v>
      </c>
      <c r="C50" s="52"/>
      <c r="D50" s="62" t="s">
        <v>66</v>
      </c>
      <c r="E50" s="55"/>
      <c r="F50" s="62" t="s">
        <v>67</v>
      </c>
      <c r="G50" s="55"/>
      <c r="H50" s="62" t="s">
        <v>68</v>
      </c>
      <c r="I50" s="55"/>
      <c r="J50" s="62" t="s">
        <v>6</v>
      </c>
      <c r="K50" s="55"/>
    </row>
    <row r="51" spans="1:11" ht="15.75" customHeight="1" x14ac:dyDescent="0.25">
      <c r="A51" s="51"/>
      <c r="B51" s="27" t="str">
        <f>RUBRICA!A6</f>
        <v>3. Relaciona el Proyecto APT con sus intereses profesionales. *</v>
      </c>
      <c r="C51" s="28" t="s">
        <v>66</v>
      </c>
      <c r="D51" s="29" t="str">
        <f>IF($C51=CL,"X","")</f>
        <v>X</v>
      </c>
      <c r="E51" s="29">
        <f>IF(D51="X",100*0.05,"")</f>
        <v>5</v>
      </c>
      <c r="F51" s="29" t="str">
        <f>IF($C51=L,"X","")</f>
        <v/>
      </c>
      <c r="G51" s="29" t="str">
        <f>IF(F51="X",60*0.05,"")</f>
        <v/>
      </c>
      <c r="H51" s="29" t="str">
        <f>IF($C51=ML,"X","")</f>
        <v/>
      </c>
      <c r="I51" s="29" t="str">
        <f>IF(H51="X",30*0.05,"")</f>
        <v/>
      </c>
      <c r="J51" s="29" t="str">
        <f>IF($C51=NL,"X","")</f>
        <v/>
      </c>
      <c r="K51" s="29" t="str">
        <f t="shared" ref="K51:K53" si="20">IF($J51="X",0,"")</f>
        <v/>
      </c>
    </row>
    <row r="52" spans="1:11" ht="25.5" customHeight="1" x14ac:dyDescent="0.25">
      <c r="A52" s="51"/>
      <c r="B52" s="27" t="str">
        <f>RUBRICA!A11</f>
        <v>8. Expone el tema utilizando un lenguaje técnico disciplinar al presentar la propuesta y responde evidenciando un manejo de la información. *</v>
      </c>
      <c r="C52" s="28" t="s">
        <v>66</v>
      </c>
      <c r="D52" s="29" t="str">
        <f>IF($C52=CL,"X","")</f>
        <v>X</v>
      </c>
      <c r="E52" s="29">
        <f t="shared" ref="E52:E53" si="21">IF(D52="X",100*0.1,"")</f>
        <v>10</v>
      </c>
      <c r="F52" s="29" t="str">
        <f>IF($C52=L,"X","")</f>
        <v/>
      </c>
      <c r="G52" s="29" t="str">
        <f t="shared" ref="G52:G53" si="22">IF(F52="X",60*0.1,"")</f>
        <v/>
      </c>
      <c r="H52" s="29" t="str">
        <f>IF($C52=ML,"X","")</f>
        <v/>
      </c>
      <c r="I52" s="29" t="str">
        <f t="shared" ref="I52:I53" si="23">IF(H52="X",30*0.1,"")</f>
        <v/>
      </c>
      <c r="J52" s="29" t="str">
        <f>IF($C52=NL,"X","")</f>
        <v/>
      </c>
      <c r="K52" s="29" t="str">
        <f t="shared" si="20"/>
        <v/>
      </c>
    </row>
    <row r="53" spans="1:11" ht="15.75" customHeight="1" x14ac:dyDescent="0.25">
      <c r="A53" s="51"/>
      <c r="B53" s="27" t="str">
        <f>RUBRICA!A13</f>
        <v>10. Colaboración y trabajo en equipo *</v>
      </c>
      <c r="C53" s="28" t="s">
        <v>66</v>
      </c>
      <c r="D53" s="29" t="str">
        <f>IF($C53=CL,"X","")</f>
        <v>X</v>
      </c>
      <c r="E53" s="29">
        <f t="shared" si="21"/>
        <v>10</v>
      </c>
      <c r="F53" s="29" t="str">
        <f>IF($C53=L,"X","")</f>
        <v/>
      </c>
      <c r="G53" s="29" t="str">
        <f t="shared" si="22"/>
        <v/>
      </c>
      <c r="H53" s="29" t="str">
        <f>IF($C53=ML,"X","")</f>
        <v/>
      </c>
      <c r="I53" s="29" t="str">
        <f t="shared" si="23"/>
        <v/>
      </c>
      <c r="J53" s="29" t="str">
        <f>IF($C53=NL,"X","")</f>
        <v/>
      </c>
      <c r="K53" s="29" t="str">
        <f t="shared" si="20"/>
        <v/>
      </c>
    </row>
    <row r="54" spans="1:11" ht="15.75" customHeight="1" x14ac:dyDescent="0.3">
      <c r="A54" s="51"/>
      <c r="B54" s="36" t="s">
        <v>73</v>
      </c>
      <c r="C54" s="37">
        <f>E54+G54+I54+K54</f>
        <v>25</v>
      </c>
      <c r="D54" s="32"/>
      <c r="E54" s="32">
        <f>SUM(E51:E53)</f>
        <v>25</v>
      </c>
      <c r="F54" s="32"/>
      <c r="G54" s="32">
        <f>SUM(G51:G53)</f>
        <v>0</v>
      </c>
      <c r="H54" s="32"/>
      <c r="I54" s="32">
        <f>SUM(I51:I53)</f>
        <v>0</v>
      </c>
      <c r="J54" s="32"/>
      <c r="K54" s="32">
        <f>SUM(K52:K53)</f>
        <v>0</v>
      </c>
    </row>
    <row r="55" spans="1:11" ht="15.75" customHeight="1" x14ac:dyDescent="0.3">
      <c r="A55" s="52"/>
      <c r="B55" s="38" t="s">
        <v>70</v>
      </c>
      <c r="C55" s="34">
        <f>VLOOKUP(C54,ESCALA_TRAB_EQUIP!A1:B52,2,FALSE)</f>
        <v>7</v>
      </c>
    </row>
    <row r="56" spans="1:11" ht="15.75" customHeight="1" x14ac:dyDescent="0.3">
      <c r="B56" s="39"/>
      <c r="C56" s="40"/>
    </row>
    <row r="57" spans="1:11" ht="15.75" customHeight="1" x14ac:dyDescent="0.25"/>
    <row r="58" spans="1:11" ht="15.75" customHeight="1" x14ac:dyDescent="0.25"/>
    <row r="59" spans="1:11" ht="15.75" customHeight="1" x14ac:dyDescent="0.25"/>
    <row r="60" spans="1:11" ht="15.75" customHeight="1" x14ac:dyDescent="0.25"/>
    <row r="61" spans="1:11" ht="15.75" customHeight="1" x14ac:dyDescent="0.25"/>
    <row r="62" spans="1:11" ht="15.75" customHeight="1" x14ac:dyDescent="0.25"/>
    <row r="63" spans="1:11" ht="15.75" customHeight="1" x14ac:dyDescent="0.25"/>
    <row r="64" spans="1:11"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35">
    <mergeCell ref="D49:K49"/>
    <mergeCell ref="D50:E50"/>
    <mergeCell ref="J50:K50"/>
    <mergeCell ref="D39:E39"/>
    <mergeCell ref="F39:G39"/>
    <mergeCell ref="H39:I39"/>
    <mergeCell ref="J39:K39"/>
    <mergeCell ref="C47:K48"/>
    <mergeCell ref="E2:E3"/>
    <mergeCell ref="D11:K11"/>
    <mergeCell ref="D12:E12"/>
    <mergeCell ref="F12:G12"/>
    <mergeCell ref="H12:I12"/>
    <mergeCell ref="J12:K12"/>
    <mergeCell ref="A47:A55"/>
    <mergeCell ref="B47:B48"/>
    <mergeCell ref="C11:C12"/>
    <mergeCell ref="C26:C27"/>
    <mergeCell ref="C38:C39"/>
    <mergeCell ref="C49:C50"/>
    <mergeCell ref="C24:K25"/>
    <mergeCell ref="D26:K26"/>
    <mergeCell ref="D27:E27"/>
    <mergeCell ref="F27:G27"/>
    <mergeCell ref="H27:I27"/>
    <mergeCell ref="J27:K27"/>
    <mergeCell ref="C36:K37"/>
    <mergeCell ref="D38:K38"/>
    <mergeCell ref="F50:G50"/>
    <mergeCell ref="H50:I50"/>
    <mergeCell ref="A11:A21"/>
    <mergeCell ref="A24:A32"/>
    <mergeCell ref="B24:B25"/>
    <mergeCell ref="A36:A44"/>
    <mergeCell ref="B36:B37"/>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xr:uid="{00000000-0002-0000-0100-000000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100-000001000000}">
          <x14:formula1>
            <xm:f>'RELEVANCIA-PUNTAJE'!$B$2:$E$2</xm:f>
          </x14:formula1>
          <xm:sqref>C13:C19 C28:C30 C40:C42 C51:C53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2578125" defaultRowHeight="15" customHeight="1" x14ac:dyDescent="0.25"/>
  <cols>
    <col min="1" max="6" width="10.7109375" customWidth="1"/>
  </cols>
  <sheetData>
    <row r="1" spans="1:2" x14ac:dyDescent="0.25">
      <c r="A1" s="41" t="s">
        <v>69</v>
      </c>
      <c r="B1" s="41" t="s">
        <v>70</v>
      </c>
    </row>
    <row r="2" spans="1:2" x14ac:dyDescent="0.25">
      <c r="A2" s="41">
        <v>0</v>
      </c>
      <c r="B2" s="41">
        <v>1</v>
      </c>
    </row>
    <row r="3" spans="1:2" x14ac:dyDescent="0.25">
      <c r="A3" s="41">
        <v>0.5</v>
      </c>
      <c r="B3" s="41">
        <v>1</v>
      </c>
    </row>
    <row r="4" spans="1:2" x14ac:dyDescent="0.25">
      <c r="A4" s="41">
        <v>1</v>
      </c>
      <c r="B4" s="41">
        <v>1.1000000000000001</v>
      </c>
    </row>
    <row r="5" spans="1:2" x14ac:dyDescent="0.25">
      <c r="A5" s="41">
        <v>1.5</v>
      </c>
      <c r="B5" s="41">
        <v>1.1000000000000001</v>
      </c>
    </row>
    <row r="6" spans="1:2" x14ac:dyDescent="0.25">
      <c r="A6" s="41">
        <v>2</v>
      </c>
      <c r="B6" s="41">
        <v>1.1000000000000001</v>
      </c>
    </row>
    <row r="7" spans="1:2" x14ac:dyDescent="0.25">
      <c r="A7" s="41">
        <v>2.5</v>
      </c>
      <c r="B7" s="41">
        <v>1.2</v>
      </c>
    </row>
    <row r="8" spans="1:2" x14ac:dyDescent="0.25">
      <c r="A8" s="41">
        <v>3</v>
      </c>
      <c r="B8" s="41">
        <v>1.2</v>
      </c>
    </row>
    <row r="9" spans="1:2" x14ac:dyDescent="0.25">
      <c r="A9" s="41">
        <v>3.5</v>
      </c>
      <c r="B9" s="41">
        <v>1.2</v>
      </c>
    </row>
    <row r="10" spans="1:2" x14ac:dyDescent="0.25">
      <c r="A10" s="41">
        <v>4</v>
      </c>
      <c r="B10" s="41">
        <v>1.3</v>
      </c>
    </row>
    <row r="11" spans="1:2" x14ac:dyDescent="0.25">
      <c r="A11" s="41">
        <v>4.5</v>
      </c>
      <c r="B11" s="41">
        <v>1.3</v>
      </c>
    </row>
    <row r="12" spans="1:2" x14ac:dyDescent="0.25">
      <c r="A12" s="41">
        <v>5</v>
      </c>
      <c r="B12" s="41">
        <v>1.3</v>
      </c>
    </row>
    <row r="13" spans="1:2" x14ac:dyDescent="0.25">
      <c r="A13" s="41">
        <v>5.5</v>
      </c>
      <c r="B13" s="41">
        <v>1.4</v>
      </c>
    </row>
    <row r="14" spans="1:2" x14ac:dyDescent="0.25">
      <c r="A14" s="41">
        <v>6</v>
      </c>
      <c r="B14" s="41">
        <v>1.4</v>
      </c>
    </row>
    <row r="15" spans="1:2" x14ac:dyDescent="0.25">
      <c r="A15" s="41">
        <v>6.5</v>
      </c>
      <c r="B15" s="41">
        <v>1.4</v>
      </c>
    </row>
    <row r="16" spans="1:2" x14ac:dyDescent="0.25">
      <c r="A16" s="41">
        <v>7</v>
      </c>
      <c r="B16" s="41">
        <v>1.5</v>
      </c>
    </row>
    <row r="17" spans="1:2" x14ac:dyDescent="0.25">
      <c r="A17" s="41">
        <v>7.5</v>
      </c>
      <c r="B17" s="41">
        <v>1.5</v>
      </c>
    </row>
    <row r="18" spans="1:2" x14ac:dyDescent="0.25">
      <c r="A18" s="41">
        <v>8</v>
      </c>
      <c r="B18" s="41">
        <v>1.5</v>
      </c>
    </row>
    <row r="19" spans="1:2" x14ac:dyDescent="0.25">
      <c r="A19" s="41">
        <v>8.5</v>
      </c>
      <c r="B19" s="41">
        <v>1.6</v>
      </c>
    </row>
    <row r="20" spans="1:2" x14ac:dyDescent="0.25">
      <c r="A20" s="41">
        <v>9</v>
      </c>
      <c r="B20" s="41">
        <v>1.6</v>
      </c>
    </row>
    <row r="21" spans="1:2" ht="15.75" customHeight="1" x14ac:dyDescent="0.25">
      <c r="A21" s="41">
        <v>9.5</v>
      </c>
      <c r="B21" s="41">
        <v>1.6</v>
      </c>
    </row>
    <row r="22" spans="1:2" ht="15.75" customHeight="1" x14ac:dyDescent="0.25">
      <c r="A22" s="41">
        <v>10</v>
      </c>
      <c r="B22" s="41">
        <v>1.7</v>
      </c>
    </row>
    <row r="23" spans="1:2" ht="15.75" customHeight="1" x14ac:dyDescent="0.25">
      <c r="A23" s="41">
        <v>10.5</v>
      </c>
      <c r="B23" s="41">
        <v>1.7</v>
      </c>
    </row>
    <row r="24" spans="1:2" ht="15.75" customHeight="1" x14ac:dyDescent="0.25">
      <c r="A24" s="41">
        <v>11</v>
      </c>
      <c r="B24" s="41">
        <v>1.7</v>
      </c>
    </row>
    <row r="25" spans="1:2" ht="15.75" customHeight="1" x14ac:dyDescent="0.25">
      <c r="A25" s="41">
        <v>11.5</v>
      </c>
      <c r="B25" s="41">
        <v>1.8</v>
      </c>
    </row>
    <row r="26" spans="1:2" ht="15.75" customHeight="1" x14ac:dyDescent="0.25">
      <c r="A26" s="41">
        <v>12</v>
      </c>
      <c r="B26" s="41">
        <v>1.8</v>
      </c>
    </row>
    <row r="27" spans="1:2" ht="15.75" customHeight="1" x14ac:dyDescent="0.25">
      <c r="A27" s="41">
        <v>12.5</v>
      </c>
      <c r="B27" s="41">
        <v>1.8</v>
      </c>
    </row>
    <row r="28" spans="1:2" ht="15.75" customHeight="1" x14ac:dyDescent="0.25">
      <c r="A28" s="41">
        <v>13</v>
      </c>
      <c r="B28" s="41">
        <v>1.9</v>
      </c>
    </row>
    <row r="29" spans="1:2" ht="15.75" customHeight="1" x14ac:dyDescent="0.25">
      <c r="A29" s="41">
        <v>13.5</v>
      </c>
      <c r="B29" s="41">
        <v>1.9</v>
      </c>
    </row>
    <row r="30" spans="1:2" ht="15.75" customHeight="1" x14ac:dyDescent="0.25">
      <c r="A30" s="41">
        <v>14</v>
      </c>
      <c r="B30" s="41">
        <v>1.9</v>
      </c>
    </row>
    <row r="31" spans="1:2" ht="15.75" customHeight="1" x14ac:dyDescent="0.25">
      <c r="A31" s="41">
        <v>14.5</v>
      </c>
      <c r="B31" s="41">
        <v>2</v>
      </c>
    </row>
    <row r="32" spans="1:2" ht="15.75" customHeight="1" x14ac:dyDescent="0.25">
      <c r="A32" s="41">
        <v>15</v>
      </c>
      <c r="B32" s="41">
        <v>2</v>
      </c>
    </row>
    <row r="33" spans="1:2" ht="15.75" customHeight="1" x14ac:dyDescent="0.25">
      <c r="A33" s="41">
        <v>15.5</v>
      </c>
      <c r="B33" s="41">
        <v>2</v>
      </c>
    </row>
    <row r="34" spans="1:2" ht="15.75" customHeight="1" x14ac:dyDescent="0.25">
      <c r="A34" s="41">
        <v>16</v>
      </c>
      <c r="B34" s="41">
        <v>2.1</v>
      </c>
    </row>
    <row r="35" spans="1:2" ht="15.75" customHeight="1" x14ac:dyDescent="0.25">
      <c r="A35" s="41">
        <v>16.5</v>
      </c>
      <c r="B35" s="41">
        <v>2.1</v>
      </c>
    </row>
    <row r="36" spans="1:2" ht="15.75" customHeight="1" x14ac:dyDescent="0.25">
      <c r="A36" s="41">
        <v>17</v>
      </c>
      <c r="B36" s="41">
        <v>2.1</v>
      </c>
    </row>
    <row r="37" spans="1:2" ht="15.75" customHeight="1" x14ac:dyDescent="0.25">
      <c r="A37" s="41">
        <v>17.5</v>
      </c>
      <c r="B37" s="41">
        <v>2.2000000000000002</v>
      </c>
    </row>
    <row r="38" spans="1:2" ht="15.75" customHeight="1" x14ac:dyDescent="0.25">
      <c r="A38" s="41">
        <v>18</v>
      </c>
      <c r="B38" s="41">
        <v>2.2000000000000002</v>
      </c>
    </row>
    <row r="39" spans="1:2" ht="15.75" customHeight="1" x14ac:dyDescent="0.25">
      <c r="A39" s="41">
        <v>18.5</v>
      </c>
      <c r="B39" s="41">
        <v>2.2000000000000002</v>
      </c>
    </row>
    <row r="40" spans="1:2" ht="15.75" customHeight="1" x14ac:dyDescent="0.25">
      <c r="A40" s="41">
        <v>19</v>
      </c>
      <c r="B40" s="41">
        <v>2.2999999999999998</v>
      </c>
    </row>
    <row r="41" spans="1:2" ht="15.75" customHeight="1" x14ac:dyDescent="0.25">
      <c r="A41" s="41">
        <v>19.5</v>
      </c>
      <c r="B41" s="41">
        <v>2.2999999999999998</v>
      </c>
    </row>
    <row r="42" spans="1:2" ht="15.75" customHeight="1" x14ac:dyDescent="0.25">
      <c r="A42" s="41">
        <v>20</v>
      </c>
      <c r="B42" s="41">
        <v>2.2999999999999998</v>
      </c>
    </row>
    <row r="43" spans="1:2" ht="15.75" customHeight="1" x14ac:dyDescent="0.25">
      <c r="A43" s="41">
        <v>20.5</v>
      </c>
      <c r="B43" s="41">
        <v>2.4</v>
      </c>
    </row>
    <row r="44" spans="1:2" ht="15.75" customHeight="1" x14ac:dyDescent="0.25">
      <c r="A44" s="41">
        <v>21</v>
      </c>
      <c r="B44" s="41">
        <v>2.4</v>
      </c>
    </row>
    <row r="45" spans="1:2" ht="15.75" customHeight="1" x14ac:dyDescent="0.25">
      <c r="A45" s="41">
        <v>21.5</v>
      </c>
      <c r="B45" s="41">
        <v>2.4</v>
      </c>
    </row>
    <row r="46" spans="1:2" ht="15.75" customHeight="1" x14ac:dyDescent="0.25">
      <c r="A46" s="41">
        <v>22</v>
      </c>
      <c r="B46" s="41">
        <v>2.5</v>
      </c>
    </row>
    <row r="47" spans="1:2" ht="15.75" customHeight="1" x14ac:dyDescent="0.25">
      <c r="A47" s="41">
        <v>22.5</v>
      </c>
      <c r="B47" s="41">
        <v>2.5</v>
      </c>
    </row>
    <row r="48" spans="1:2" ht="15.75" customHeight="1" x14ac:dyDescent="0.25">
      <c r="A48" s="41">
        <v>23</v>
      </c>
      <c r="B48" s="41">
        <v>2.5</v>
      </c>
    </row>
    <row r="49" spans="1:2" ht="15.75" customHeight="1" x14ac:dyDescent="0.25">
      <c r="A49" s="41">
        <v>23.5</v>
      </c>
      <c r="B49" s="41">
        <v>2.6</v>
      </c>
    </row>
    <row r="50" spans="1:2" ht="15.75" customHeight="1" x14ac:dyDescent="0.25">
      <c r="A50" s="41">
        <v>24</v>
      </c>
      <c r="B50" s="41">
        <v>2.6</v>
      </c>
    </row>
    <row r="51" spans="1:2" ht="15.75" customHeight="1" x14ac:dyDescent="0.25">
      <c r="A51" s="41">
        <v>24.5</v>
      </c>
      <c r="B51" s="41">
        <v>2.6</v>
      </c>
    </row>
    <row r="52" spans="1:2" ht="15.75" customHeight="1" x14ac:dyDescent="0.25">
      <c r="A52" s="41">
        <v>25</v>
      </c>
      <c r="B52" s="41">
        <v>2.7</v>
      </c>
    </row>
    <row r="53" spans="1:2" ht="15.75" customHeight="1" x14ac:dyDescent="0.25">
      <c r="A53" s="41">
        <v>25.5</v>
      </c>
      <c r="B53" s="41">
        <v>2.7</v>
      </c>
    </row>
    <row r="54" spans="1:2" ht="15.75" customHeight="1" x14ac:dyDescent="0.25">
      <c r="A54" s="41">
        <v>26</v>
      </c>
      <c r="B54" s="41">
        <v>2.7</v>
      </c>
    </row>
    <row r="55" spans="1:2" ht="15.75" customHeight="1" x14ac:dyDescent="0.25">
      <c r="A55" s="41">
        <v>26.5</v>
      </c>
      <c r="B55" s="41">
        <v>2.8</v>
      </c>
    </row>
    <row r="56" spans="1:2" ht="15.75" customHeight="1" x14ac:dyDescent="0.25">
      <c r="A56" s="41">
        <v>27</v>
      </c>
      <c r="B56" s="41">
        <v>2.8</v>
      </c>
    </row>
    <row r="57" spans="1:2" ht="15.75" customHeight="1" x14ac:dyDescent="0.25">
      <c r="A57" s="41">
        <v>27.5</v>
      </c>
      <c r="B57" s="41">
        <v>2.8</v>
      </c>
    </row>
    <row r="58" spans="1:2" ht="15.75" customHeight="1" x14ac:dyDescent="0.25">
      <c r="A58" s="41">
        <v>28</v>
      </c>
      <c r="B58" s="41">
        <v>2.9</v>
      </c>
    </row>
    <row r="59" spans="1:2" ht="15.75" customHeight="1" x14ac:dyDescent="0.25">
      <c r="A59" s="41">
        <v>28.5</v>
      </c>
      <c r="B59" s="41">
        <v>2.9</v>
      </c>
    </row>
    <row r="60" spans="1:2" ht="15.75" customHeight="1" x14ac:dyDescent="0.25">
      <c r="A60" s="41">
        <v>29</v>
      </c>
      <c r="B60" s="41">
        <v>2.9</v>
      </c>
    </row>
    <row r="61" spans="1:2" ht="15.75" customHeight="1" x14ac:dyDescent="0.25">
      <c r="A61" s="41">
        <v>29.5</v>
      </c>
      <c r="B61" s="41">
        <v>3</v>
      </c>
    </row>
    <row r="62" spans="1:2" ht="15.75" customHeight="1" x14ac:dyDescent="0.25">
      <c r="A62" s="41">
        <v>30</v>
      </c>
      <c r="B62" s="41">
        <v>3</v>
      </c>
    </row>
    <row r="63" spans="1:2" ht="15.75" customHeight="1" x14ac:dyDescent="0.25">
      <c r="A63" s="41">
        <v>30.5</v>
      </c>
      <c r="B63" s="41">
        <v>3</v>
      </c>
    </row>
    <row r="64" spans="1:2" ht="15.75" customHeight="1" x14ac:dyDescent="0.25">
      <c r="A64" s="41">
        <v>31</v>
      </c>
      <c r="B64" s="41">
        <v>3.1</v>
      </c>
    </row>
    <row r="65" spans="1:2" ht="15.75" customHeight="1" x14ac:dyDescent="0.25">
      <c r="A65" s="41">
        <v>31.5</v>
      </c>
      <c r="B65" s="41">
        <v>3.1</v>
      </c>
    </row>
    <row r="66" spans="1:2" ht="15.75" customHeight="1" x14ac:dyDescent="0.25">
      <c r="A66" s="41">
        <v>32</v>
      </c>
      <c r="B66" s="41">
        <v>3.1</v>
      </c>
    </row>
    <row r="67" spans="1:2" ht="15.75" customHeight="1" x14ac:dyDescent="0.25">
      <c r="A67" s="41">
        <v>32.5</v>
      </c>
      <c r="B67" s="41">
        <v>3.2</v>
      </c>
    </row>
    <row r="68" spans="1:2" ht="15.75" customHeight="1" x14ac:dyDescent="0.25">
      <c r="A68" s="41">
        <v>33</v>
      </c>
      <c r="B68" s="41">
        <v>3.2</v>
      </c>
    </row>
    <row r="69" spans="1:2" ht="15.75" customHeight="1" x14ac:dyDescent="0.25">
      <c r="A69" s="41">
        <v>33.5</v>
      </c>
      <c r="B69" s="41">
        <v>3.2</v>
      </c>
    </row>
    <row r="70" spans="1:2" ht="15.75" customHeight="1" x14ac:dyDescent="0.25">
      <c r="A70" s="41">
        <v>34</v>
      </c>
      <c r="B70" s="41">
        <v>3.3</v>
      </c>
    </row>
    <row r="71" spans="1:2" ht="15.75" customHeight="1" x14ac:dyDescent="0.25">
      <c r="A71" s="41">
        <v>34.5</v>
      </c>
      <c r="B71" s="41">
        <v>3.3</v>
      </c>
    </row>
    <row r="72" spans="1:2" ht="15.75" customHeight="1" x14ac:dyDescent="0.25">
      <c r="A72" s="41">
        <v>35</v>
      </c>
      <c r="B72" s="41">
        <v>3.3</v>
      </c>
    </row>
    <row r="73" spans="1:2" ht="15.75" customHeight="1" x14ac:dyDescent="0.25">
      <c r="A73" s="41">
        <v>35.5</v>
      </c>
      <c r="B73" s="41">
        <v>3.4</v>
      </c>
    </row>
    <row r="74" spans="1:2" ht="15.75" customHeight="1" x14ac:dyDescent="0.25">
      <c r="A74" s="41">
        <v>36</v>
      </c>
      <c r="B74" s="41">
        <v>3.4</v>
      </c>
    </row>
    <row r="75" spans="1:2" ht="15.75" customHeight="1" x14ac:dyDescent="0.25">
      <c r="A75" s="41">
        <v>36.5</v>
      </c>
      <c r="B75" s="41">
        <v>3.4</v>
      </c>
    </row>
    <row r="76" spans="1:2" ht="15.75" customHeight="1" x14ac:dyDescent="0.25">
      <c r="A76" s="41">
        <v>37</v>
      </c>
      <c r="B76" s="41">
        <v>3.5</v>
      </c>
    </row>
    <row r="77" spans="1:2" ht="15.75" customHeight="1" x14ac:dyDescent="0.25">
      <c r="A77" s="41">
        <v>37.5</v>
      </c>
      <c r="B77" s="41">
        <v>3.5</v>
      </c>
    </row>
    <row r="78" spans="1:2" ht="15.75" customHeight="1" x14ac:dyDescent="0.25">
      <c r="A78" s="41">
        <v>38</v>
      </c>
      <c r="B78" s="41">
        <v>3.5</v>
      </c>
    </row>
    <row r="79" spans="1:2" ht="15.75" customHeight="1" x14ac:dyDescent="0.25">
      <c r="A79" s="41">
        <v>38.5</v>
      </c>
      <c r="B79" s="41">
        <v>3.6</v>
      </c>
    </row>
    <row r="80" spans="1:2" ht="15.75" customHeight="1" x14ac:dyDescent="0.25">
      <c r="A80" s="41">
        <v>39</v>
      </c>
      <c r="B80" s="41">
        <v>3.6</v>
      </c>
    </row>
    <row r="81" spans="1:2" ht="15.75" customHeight="1" x14ac:dyDescent="0.25">
      <c r="A81" s="41">
        <v>39.5</v>
      </c>
      <c r="B81" s="41">
        <v>3.6</v>
      </c>
    </row>
    <row r="82" spans="1:2" ht="15.75" customHeight="1" x14ac:dyDescent="0.25">
      <c r="A82" s="41">
        <v>40</v>
      </c>
      <c r="B82" s="41">
        <v>3.7</v>
      </c>
    </row>
    <row r="83" spans="1:2" ht="15.75" customHeight="1" x14ac:dyDescent="0.25">
      <c r="A83" s="41">
        <v>40.5</v>
      </c>
      <c r="B83" s="41">
        <v>3.7</v>
      </c>
    </row>
    <row r="84" spans="1:2" ht="15.75" customHeight="1" x14ac:dyDescent="0.25">
      <c r="A84" s="41">
        <v>41</v>
      </c>
      <c r="B84" s="41">
        <v>3.7</v>
      </c>
    </row>
    <row r="85" spans="1:2" ht="15.75" customHeight="1" x14ac:dyDescent="0.25">
      <c r="A85" s="41">
        <v>41.5</v>
      </c>
      <c r="B85" s="41">
        <v>3.8</v>
      </c>
    </row>
    <row r="86" spans="1:2" ht="15.75" customHeight="1" x14ac:dyDescent="0.25">
      <c r="A86" s="41">
        <v>42</v>
      </c>
      <c r="B86" s="41">
        <v>3.8</v>
      </c>
    </row>
    <row r="87" spans="1:2" ht="15.75" customHeight="1" x14ac:dyDescent="0.25">
      <c r="A87" s="41">
        <v>42.5</v>
      </c>
      <c r="B87" s="41">
        <v>3.8</v>
      </c>
    </row>
    <row r="88" spans="1:2" ht="15.75" customHeight="1" x14ac:dyDescent="0.25">
      <c r="A88" s="41">
        <v>43</v>
      </c>
      <c r="B88" s="41">
        <v>3.9</v>
      </c>
    </row>
    <row r="89" spans="1:2" ht="15.75" customHeight="1" x14ac:dyDescent="0.25">
      <c r="A89" s="41">
        <v>43.5</v>
      </c>
      <c r="B89" s="41">
        <v>3.9</v>
      </c>
    </row>
    <row r="90" spans="1:2" ht="15.75" customHeight="1" x14ac:dyDescent="0.25">
      <c r="A90" s="41">
        <v>44</v>
      </c>
      <c r="B90" s="41">
        <v>3.9</v>
      </c>
    </row>
    <row r="91" spans="1:2" ht="15.75" customHeight="1" x14ac:dyDescent="0.25">
      <c r="A91" s="41">
        <v>44.5</v>
      </c>
      <c r="B91" s="41">
        <v>4</v>
      </c>
    </row>
    <row r="92" spans="1:2" ht="15.75" customHeight="1" x14ac:dyDescent="0.25">
      <c r="A92" s="41">
        <v>45</v>
      </c>
      <c r="B92" s="41">
        <v>4</v>
      </c>
    </row>
    <row r="93" spans="1:2" ht="15.75" customHeight="1" x14ac:dyDescent="0.25">
      <c r="A93" s="41">
        <v>45.5</v>
      </c>
      <c r="B93" s="41">
        <v>4.0999999999999996</v>
      </c>
    </row>
    <row r="94" spans="1:2" ht="15.75" customHeight="1" x14ac:dyDescent="0.25">
      <c r="A94" s="41">
        <v>46</v>
      </c>
      <c r="B94" s="41">
        <v>4.0999999999999996</v>
      </c>
    </row>
    <row r="95" spans="1:2" ht="15.75" customHeight="1" x14ac:dyDescent="0.25">
      <c r="A95" s="41">
        <v>46.5</v>
      </c>
      <c r="B95" s="41">
        <v>4.2</v>
      </c>
    </row>
    <row r="96" spans="1:2" ht="15.75" customHeight="1" x14ac:dyDescent="0.25">
      <c r="A96" s="41">
        <v>47</v>
      </c>
      <c r="B96" s="41">
        <v>4.2</v>
      </c>
    </row>
    <row r="97" spans="1:2" ht="15.75" customHeight="1" x14ac:dyDescent="0.25">
      <c r="A97" s="41">
        <v>47.5</v>
      </c>
      <c r="B97" s="41">
        <v>4.3</v>
      </c>
    </row>
    <row r="98" spans="1:2" ht="15.75" customHeight="1" x14ac:dyDescent="0.25">
      <c r="A98" s="41">
        <v>48</v>
      </c>
      <c r="B98" s="41">
        <v>4.3</v>
      </c>
    </row>
    <row r="99" spans="1:2" ht="15.75" customHeight="1" x14ac:dyDescent="0.25">
      <c r="A99" s="41">
        <v>48.5</v>
      </c>
      <c r="B99" s="41">
        <v>4.4000000000000004</v>
      </c>
    </row>
    <row r="100" spans="1:2" ht="15.75" customHeight="1" x14ac:dyDescent="0.25">
      <c r="A100" s="41">
        <v>49</v>
      </c>
      <c r="B100" s="41">
        <v>4.4000000000000004</v>
      </c>
    </row>
    <row r="101" spans="1:2" ht="15.75" customHeight="1" x14ac:dyDescent="0.25">
      <c r="A101" s="41">
        <v>49.5</v>
      </c>
      <c r="B101" s="41">
        <v>4.5</v>
      </c>
    </row>
    <row r="102" spans="1:2" ht="15.75" customHeight="1" x14ac:dyDescent="0.25">
      <c r="A102" s="41">
        <v>50</v>
      </c>
      <c r="B102" s="41">
        <v>4.5</v>
      </c>
    </row>
    <row r="103" spans="1:2" ht="15.75" customHeight="1" x14ac:dyDescent="0.25">
      <c r="A103" s="41">
        <v>50.5</v>
      </c>
      <c r="B103" s="41">
        <v>4.5999999999999996</v>
      </c>
    </row>
    <row r="104" spans="1:2" ht="15.75" customHeight="1" x14ac:dyDescent="0.25">
      <c r="A104" s="41">
        <v>51</v>
      </c>
      <c r="B104" s="41">
        <v>4.5999999999999996</v>
      </c>
    </row>
    <row r="105" spans="1:2" ht="15.75" customHeight="1" x14ac:dyDescent="0.25">
      <c r="A105" s="41">
        <v>51.5</v>
      </c>
      <c r="B105" s="41">
        <v>4.7</v>
      </c>
    </row>
    <row r="106" spans="1:2" ht="15.75" customHeight="1" x14ac:dyDescent="0.25">
      <c r="A106" s="41">
        <v>52</v>
      </c>
      <c r="B106" s="41">
        <v>4.7</v>
      </c>
    </row>
    <row r="107" spans="1:2" ht="15.75" customHeight="1" x14ac:dyDescent="0.25">
      <c r="A107" s="41">
        <v>52.5</v>
      </c>
      <c r="B107" s="41">
        <v>4.8</v>
      </c>
    </row>
    <row r="108" spans="1:2" ht="15.75" customHeight="1" x14ac:dyDescent="0.25">
      <c r="A108" s="41">
        <v>53</v>
      </c>
      <c r="B108" s="41">
        <v>4.8</v>
      </c>
    </row>
    <row r="109" spans="1:2" ht="15.75" customHeight="1" x14ac:dyDescent="0.25">
      <c r="A109" s="41">
        <v>53.5</v>
      </c>
      <c r="B109" s="41">
        <v>4.9000000000000004</v>
      </c>
    </row>
    <row r="110" spans="1:2" ht="15.75" customHeight="1" x14ac:dyDescent="0.25">
      <c r="A110" s="41">
        <v>54</v>
      </c>
      <c r="B110" s="41">
        <v>4.9000000000000004</v>
      </c>
    </row>
    <row r="111" spans="1:2" ht="15.75" customHeight="1" x14ac:dyDescent="0.25">
      <c r="A111" s="41">
        <v>54.5</v>
      </c>
      <c r="B111" s="41">
        <v>5</v>
      </c>
    </row>
    <row r="112" spans="1:2" ht="15.75" customHeight="1" x14ac:dyDescent="0.25">
      <c r="A112" s="41">
        <v>55</v>
      </c>
      <c r="B112" s="41">
        <v>5</v>
      </c>
    </row>
    <row r="113" spans="1:2" ht="15.75" customHeight="1" x14ac:dyDescent="0.25">
      <c r="A113" s="41">
        <v>55.5</v>
      </c>
      <c r="B113" s="41">
        <v>5.0999999999999996</v>
      </c>
    </row>
    <row r="114" spans="1:2" ht="15.75" customHeight="1" x14ac:dyDescent="0.25">
      <c r="A114" s="41">
        <v>56</v>
      </c>
      <c r="B114" s="41">
        <v>5.0999999999999996</v>
      </c>
    </row>
    <row r="115" spans="1:2" ht="15.75" customHeight="1" x14ac:dyDescent="0.25">
      <c r="A115" s="41">
        <v>56.5</v>
      </c>
      <c r="B115" s="41">
        <v>5.2</v>
      </c>
    </row>
    <row r="116" spans="1:2" ht="15.75" customHeight="1" x14ac:dyDescent="0.25">
      <c r="A116" s="41">
        <v>57</v>
      </c>
      <c r="B116" s="41">
        <v>5.2</v>
      </c>
    </row>
    <row r="117" spans="1:2" ht="15.75" customHeight="1" x14ac:dyDescent="0.25">
      <c r="A117" s="41">
        <v>57.5</v>
      </c>
      <c r="B117" s="41">
        <v>5.3</v>
      </c>
    </row>
    <row r="118" spans="1:2" ht="15.75" customHeight="1" x14ac:dyDescent="0.25">
      <c r="A118" s="41">
        <v>58</v>
      </c>
      <c r="B118" s="41">
        <v>5.3</v>
      </c>
    </row>
    <row r="119" spans="1:2" ht="15.75" customHeight="1" x14ac:dyDescent="0.25">
      <c r="A119" s="41">
        <v>58.5</v>
      </c>
      <c r="B119" s="41">
        <v>5.4</v>
      </c>
    </row>
    <row r="120" spans="1:2" ht="15.75" customHeight="1" x14ac:dyDescent="0.25">
      <c r="A120" s="41">
        <v>59</v>
      </c>
      <c r="B120" s="41">
        <v>5.4</v>
      </c>
    </row>
    <row r="121" spans="1:2" ht="15.75" customHeight="1" x14ac:dyDescent="0.25">
      <c r="A121" s="41">
        <v>59.5</v>
      </c>
      <c r="B121" s="41">
        <v>5.5</v>
      </c>
    </row>
    <row r="122" spans="1:2" ht="15.75" customHeight="1" x14ac:dyDescent="0.25">
      <c r="A122" s="41">
        <v>60</v>
      </c>
      <c r="B122" s="41">
        <v>5.5</v>
      </c>
    </row>
    <row r="123" spans="1:2" ht="15.75" customHeight="1" x14ac:dyDescent="0.25">
      <c r="A123" s="41">
        <v>60.5</v>
      </c>
      <c r="B123" s="41">
        <v>5.6</v>
      </c>
    </row>
    <row r="124" spans="1:2" ht="15.75" customHeight="1" x14ac:dyDescent="0.25">
      <c r="A124" s="41">
        <v>61</v>
      </c>
      <c r="B124" s="41">
        <v>5.6</v>
      </c>
    </row>
    <row r="125" spans="1:2" ht="15.75" customHeight="1" x14ac:dyDescent="0.25">
      <c r="A125" s="41">
        <v>61.5</v>
      </c>
      <c r="B125" s="41">
        <v>5.7</v>
      </c>
    </row>
    <row r="126" spans="1:2" ht="15.75" customHeight="1" x14ac:dyDescent="0.25">
      <c r="A126" s="41">
        <v>62</v>
      </c>
      <c r="B126" s="41">
        <v>5.7</v>
      </c>
    </row>
    <row r="127" spans="1:2" ht="15.75" customHeight="1" x14ac:dyDescent="0.25">
      <c r="A127" s="41">
        <v>62.5</v>
      </c>
      <c r="B127" s="41">
        <v>5.8</v>
      </c>
    </row>
    <row r="128" spans="1:2" ht="15.75" customHeight="1" x14ac:dyDescent="0.25">
      <c r="A128" s="41">
        <v>63</v>
      </c>
      <c r="B128" s="41">
        <v>5.8</v>
      </c>
    </row>
    <row r="129" spans="1:2" ht="15.75" customHeight="1" x14ac:dyDescent="0.25">
      <c r="A129" s="41">
        <v>63.5</v>
      </c>
      <c r="B129" s="41">
        <v>5.9</v>
      </c>
    </row>
    <row r="130" spans="1:2" ht="15.75" customHeight="1" x14ac:dyDescent="0.25">
      <c r="A130" s="41">
        <v>64</v>
      </c>
      <c r="B130" s="41">
        <v>5.9</v>
      </c>
    </row>
    <row r="131" spans="1:2" ht="15.75" customHeight="1" x14ac:dyDescent="0.25">
      <c r="A131" s="41">
        <v>64.5</v>
      </c>
      <c r="B131" s="41">
        <v>6</v>
      </c>
    </row>
    <row r="132" spans="1:2" ht="15.75" customHeight="1" x14ac:dyDescent="0.25">
      <c r="A132" s="41">
        <v>65</v>
      </c>
      <c r="B132" s="41">
        <v>6</v>
      </c>
    </row>
    <row r="133" spans="1:2" ht="15.75" customHeight="1" x14ac:dyDescent="0.25">
      <c r="A133" s="41">
        <v>65.5</v>
      </c>
      <c r="B133" s="41">
        <v>6.1</v>
      </c>
    </row>
    <row r="134" spans="1:2" ht="15.75" customHeight="1" x14ac:dyDescent="0.25">
      <c r="A134" s="41">
        <v>66</v>
      </c>
      <c r="B134" s="41">
        <v>6.1</v>
      </c>
    </row>
    <row r="135" spans="1:2" ht="15.75" customHeight="1" x14ac:dyDescent="0.25">
      <c r="A135" s="41">
        <v>66.5</v>
      </c>
      <c r="B135" s="41">
        <v>6.2</v>
      </c>
    </row>
    <row r="136" spans="1:2" ht="15.75" customHeight="1" x14ac:dyDescent="0.25">
      <c r="A136" s="41">
        <v>67</v>
      </c>
      <c r="B136" s="41">
        <v>6.2</v>
      </c>
    </row>
    <row r="137" spans="1:2" ht="15.75" customHeight="1" x14ac:dyDescent="0.25">
      <c r="A137" s="41">
        <v>67.5</v>
      </c>
      <c r="B137" s="41">
        <v>6.3</v>
      </c>
    </row>
    <row r="138" spans="1:2" ht="15.75" customHeight="1" x14ac:dyDescent="0.25">
      <c r="A138" s="41">
        <v>68</v>
      </c>
      <c r="B138" s="41">
        <v>6.3</v>
      </c>
    </row>
    <row r="139" spans="1:2" ht="15.75" customHeight="1" x14ac:dyDescent="0.25">
      <c r="A139" s="41">
        <v>68.5</v>
      </c>
      <c r="B139" s="41">
        <v>6.4</v>
      </c>
    </row>
    <row r="140" spans="1:2" ht="15.75" customHeight="1" x14ac:dyDescent="0.25">
      <c r="A140" s="41">
        <v>69</v>
      </c>
      <c r="B140" s="41">
        <v>6.4</v>
      </c>
    </row>
    <row r="141" spans="1:2" ht="15.75" customHeight="1" x14ac:dyDescent="0.25">
      <c r="A141" s="41">
        <v>69.5</v>
      </c>
      <c r="B141" s="41">
        <v>6.5</v>
      </c>
    </row>
    <row r="142" spans="1:2" ht="15.75" customHeight="1" x14ac:dyDescent="0.25">
      <c r="A142" s="41">
        <v>70</v>
      </c>
      <c r="B142" s="41">
        <v>6.5</v>
      </c>
    </row>
    <row r="143" spans="1:2" ht="15.75" customHeight="1" x14ac:dyDescent="0.25">
      <c r="A143" s="41">
        <v>70.5</v>
      </c>
      <c r="B143" s="41">
        <v>6.6</v>
      </c>
    </row>
    <row r="144" spans="1:2" ht="15.75" customHeight="1" x14ac:dyDescent="0.25">
      <c r="A144" s="41">
        <v>71</v>
      </c>
      <c r="B144" s="41">
        <v>6.6</v>
      </c>
    </row>
    <row r="145" spans="1:2" ht="15.75" customHeight="1" x14ac:dyDescent="0.25">
      <c r="A145" s="41">
        <v>71.5</v>
      </c>
      <c r="B145" s="41">
        <v>6.7</v>
      </c>
    </row>
    <row r="146" spans="1:2" ht="15.75" customHeight="1" x14ac:dyDescent="0.25">
      <c r="A146" s="41">
        <v>72</v>
      </c>
      <c r="B146" s="41">
        <v>6.7</v>
      </c>
    </row>
    <row r="147" spans="1:2" ht="15.75" customHeight="1" x14ac:dyDescent="0.25">
      <c r="A147" s="41">
        <v>72.5</v>
      </c>
      <c r="B147" s="41">
        <v>6.8</v>
      </c>
    </row>
    <row r="148" spans="1:2" ht="15.75" customHeight="1" x14ac:dyDescent="0.25">
      <c r="A148" s="41">
        <v>73</v>
      </c>
      <c r="B148" s="41">
        <v>6.8</v>
      </c>
    </row>
    <row r="149" spans="1:2" ht="15.75" customHeight="1" x14ac:dyDescent="0.25">
      <c r="A149" s="41">
        <v>73.5</v>
      </c>
      <c r="B149" s="41">
        <v>6.9</v>
      </c>
    </row>
    <row r="150" spans="1:2" ht="15.75" customHeight="1" x14ac:dyDescent="0.25">
      <c r="A150" s="41">
        <v>74</v>
      </c>
      <c r="B150" s="41">
        <v>6.9</v>
      </c>
    </row>
    <row r="151" spans="1:2" ht="15.75" customHeight="1" x14ac:dyDescent="0.25">
      <c r="A151" s="41">
        <v>74.5</v>
      </c>
      <c r="B151" s="41">
        <v>7</v>
      </c>
    </row>
    <row r="152" spans="1:2" ht="15.75" customHeight="1" x14ac:dyDescent="0.25">
      <c r="A152" s="41">
        <v>75</v>
      </c>
      <c r="B152" s="41">
        <v>7</v>
      </c>
    </row>
    <row r="153" spans="1:2" ht="15.75" customHeight="1" x14ac:dyDescent="0.25"/>
    <row r="154" spans="1:2" ht="15.75" customHeight="1" x14ac:dyDescent="0.25"/>
    <row r="155" spans="1:2" ht="15.75" customHeight="1" x14ac:dyDescent="0.25"/>
    <row r="156" spans="1:2" ht="15.75" customHeight="1" x14ac:dyDescent="0.25"/>
    <row r="157" spans="1:2" ht="15.75" customHeight="1" x14ac:dyDescent="0.25"/>
    <row r="158" spans="1:2" ht="15.75" customHeight="1" x14ac:dyDescent="0.25"/>
    <row r="159" spans="1:2" ht="15.75" customHeight="1" x14ac:dyDescent="0.25"/>
    <row r="160" spans="1:2"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baseColWidth="10" defaultColWidth="14.42578125" defaultRowHeight="15" customHeight="1" x14ac:dyDescent="0.25"/>
  <cols>
    <col min="1" max="6" width="10.7109375" customWidth="1"/>
  </cols>
  <sheetData>
    <row r="1" spans="1:2" x14ac:dyDescent="0.25">
      <c r="A1" s="41" t="s">
        <v>74</v>
      </c>
      <c r="B1" s="41" t="s">
        <v>75</v>
      </c>
    </row>
    <row r="2" spans="1:2" x14ac:dyDescent="0.25">
      <c r="A2" s="41">
        <v>0</v>
      </c>
      <c r="B2" s="24">
        <v>1</v>
      </c>
    </row>
    <row r="3" spans="1:2" x14ac:dyDescent="0.25">
      <c r="A3" s="41">
        <v>1</v>
      </c>
      <c r="B3" s="24">
        <v>1.1000000000000001</v>
      </c>
    </row>
    <row r="4" spans="1:2" x14ac:dyDescent="0.25">
      <c r="A4" s="41">
        <v>2</v>
      </c>
      <c r="B4" s="24">
        <v>1.2</v>
      </c>
    </row>
    <row r="5" spans="1:2" x14ac:dyDescent="0.25">
      <c r="A5" s="41">
        <v>3</v>
      </c>
      <c r="B5" s="24">
        <v>1.3</v>
      </c>
    </row>
    <row r="6" spans="1:2" x14ac:dyDescent="0.25">
      <c r="A6" s="41">
        <v>4</v>
      </c>
      <c r="B6" s="24">
        <v>1.4</v>
      </c>
    </row>
    <row r="7" spans="1:2" x14ac:dyDescent="0.25">
      <c r="A7" s="41">
        <v>5</v>
      </c>
      <c r="B7" s="24">
        <v>1.5</v>
      </c>
    </row>
    <row r="8" spans="1:2" x14ac:dyDescent="0.25">
      <c r="A8" s="41">
        <v>6</v>
      </c>
      <c r="B8" s="24">
        <v>1.6</v>
      </c>
    </row>
    <row r="9" spans="1:2" x14ac:dyDescent="0.25">
      <c r="A9" s="41">
        <v>7</v>
      </c>
      <c r="B9" s="24">
        <v>1.7</v>
      </c>
    </row>
    <row r="10" spans="1:2" x14ac:dyDescent="0.25">
      <c r="A10" s="41">
        <v>8</v>
      </c>
      <c r="B10" s="24">
        <v>1.8</v>
      </c>
    </row>
    <row r="11" spans="1:2" x14ac:dyDescent="0.25">
      <c r="A11" s="41">
        <v>9</v>
      </c>
      <c r="B11" s="24">
        <v>1.9</v>
      </c>
    </row>
    <row r="12" spans="1:2" x14ac:dyDescent="0.25">
      <c r="A12" s="41">
        <v>10</v>
      </c>
      <c r="B12" s="24">
        <v>2</v>
      </c>
    </row>
    <row r="13" spans="1:2" x14ac:dyDescent="0.25">
      <c r="A13" s="41">
        <v>11</v>
      </c>
      <c r="B13" s="24">
        <v>2.1</v>
      </c>
    </row>
    <row r="14" spans="1:2" x14ac:dyDescent="0.25">
      <c r="A14" s="41">
        <v>12</v>
      </c>
      <c r="B14" s="24">
        <v>2.2000000000000002</v>
      </c>
    </row>
    <row r="15" spans="1:2" x14ac:dyDescent="0.25">
      <c r="A15" s="41">
        <v>13</v>
      </c>
      <c r="B15" s="24">
        <v>2.2999999999999998</v>
      </c>
    </row>
    <row r="16" spans="1:2" x14ac:dyDescent="0.25">
      <c r="A16" s="41">
        <v>14</v>
      </c>
      <c r="B16" s="24">
        <v>2.2999999999999998</v>
      </c>
    </row>
    <row r="17" spans="1:2" x14ac:dyDescent="0.25">
      <c r="A17" s="41">
        <v>15</v>
      </c>
      <c r="B17" s="24">
        <v>2.4</v>
      </c>
    </row>
    <row r="18" spans="1:2" x14ac:dyDescent="0.25">
      <c r="A18" s="41">
        <v>16</v>
      </c>
      <c r="B18" s="24">
        <v>2.5</v>
      </c>
    </row>
    <row r="19" spans="1:2" x14ac:dyDescent="0.25">
      <c r="A19" s="41">
        <v>17</v>
      </c>
      <c r="B19" s="24">
        <v>2.6</v>
      </c>
    </row>
    <row r="20" spans="1:2" x14ac:dyDescent="0.25">
      <c r="A20" s="41">
        <v>18</v>
      </c>
      <c r="B20" s="24">
        <v>2.7</v>
      </c>
    </row>
    <row r="21" spans="1:2" ht="15.75" customHeight="1" x14ac:dyDescent="0.25">
      <c r="A21" s="41">
        <v>19</v>
      </c>
      <c r="B21" s="24">
        <v>2.8</v>
      </c>
    </row>
    <row r="22" spans="1:2" ht="15.75" customHeight="1" x14ac:dyDescent="0.25">
      <c r="A22" s="41">
        <v>20</v>
      </c>
      <c r="B22" s="24">
        <v>2.9</v>
      </c>
    </row>
    <row r="23" spans="1:2" ht="15.75" customHeight="1" x14ac:dyDescent="0.25">
      <c r="A23" s="41">
        <v>21</v>
      </c>
      <c r="B23" s="24">
        <v>3</v>
      </c>
    </row>
    <row r="24" spans="1:2" ht="15.75" customHeight="1" x14ac:dyDescent="0.25">
      <c r="A24" s="41">
        <v>22</v>
      </c>
      <c r="B24" s="24">
        <v>3.1</v>
      </c>
    </row>
    <row r="25" spans="1:2" ht="15.75" customHeight="1" x14ac:dyDescent="0.25">
      <c r="A25" s="41">
        <v>23</v>
      </c>
      <c r="B25" s="24">
        <v>3.2</v>
      </c>
    </row>
    <row r="26" spans="1:2" ht="15.75" customHeight="1" x14ac:dyDescent="0.25">
      <c r="A26" s="41">
        <v>24</v>
      </c>
      <c r="B26" s="24">
        <v>3.3</v>
      </c>
    </row>
    <row r="27" spans="1:2" ht="15.75" customHeight="1" x14ac:dyDescent="0.25">
      <c r="A27" s="41">
        <v>25</v>
      </c>
      <c r="B27" s="24">
        <v>3.4</v>
      </c>
    </row>
    <row r="28" spans="1:2" ht="15.75" customHeight="1" x14ac:dyDescent="0.25">
      <c r="A28" s="41">
        <v>26</v>
      </c>
      <c r="B28" s="24">
        <v>3.5</v>
      </c>
    </row>
    <row r="29" spans="1:2" ht="15.75" customHeight="1" x14ac:dyDescent="0.25">
      <c r="A29" s="41">
        <v>27</v>
      </c>
      <c r="B29" s="24">
        <v>3.6</v>
      </c>
    </row>
    <row r="30" spans="1:2" ht="15.75" customHeight="1" x14ac:dyDescent="0.25">
      <c r="A30" s="41">
        <v>28</v>
      </c>
      <c r="B30" s="24">
        <v>3.7</v>
      </c>
    </row>
    <row r="31" spans="1:2" ht="15.75" customHeight="1" x14ac:dyDescent="0.25">
      <c r="A31" s="41">
        <v>29</v>
      </c>
      <c r="B31" s="24">
        <v>3.8</v>
      </c>
    </row>
    <row r="32" spans="1:2" ht="15.75" customHeight="1" x14ac:dyDescent="0.25">
      <c r="A32" s="41">
        <v>30</v>
      </c>
      <c r="B32" s="24">
        <v>3.9</v>
      </c>
    </row>
    <row r="33" spans="1:2" ht="15.75" customHeight="1" x14ac:dyDescent="0.25">
      <c r="A33" s="41">
        <v>31</v>
      </c>
      <c r="B33" s="24">
        <v>4</v>
      </c>
    </row>
    <row r="34" spans="1:2" ht="15.75" customHeight="1" x14ac:dyDescent="0.25">
      <c r="A34" s="41">
        <v>32</v>
      </c>
      <c r="B34" s="24">
        <v>4.0999999999999996</v>
      </c>
    </row>
    <row r="35" spans="1:2" ht="15.75" customHeight="1" x14ac:dyDescent="0.25">
      <c r="A35" s="41">
        <v>33</v>
      </c>
      <c r="B35" s="24">
        <v>4.3</v>
      </c>
    </row>
    <row r="36" spans="1:2" ht="15.75" customHeight="1" x14ac:dyDescent="0.25">
      <c r="A36" s="41">
        <v>34</v>
      </c>
      <c r="B36" s="24">
        <v>4.4000000000000004</v>
      </c>
    </row>
    <row r="37" spans="1:2" ht="15.75" customHeight="1" x14ac:dyDescent="0.25">
      <c r="A37" s="41">
        <v>35</v>
      </c>
      <c r="B37" s="24">
        <v>4.5</v>
      </c>
    </row>
    <row r="38" spans="1:2" ht="15.75" customHeight="1" x14ac:dyDescent="0.25">
      <c r="A38" s="41">
        <v>36</v>
      </c>
      <c r="B38" s="24">
        <v>4.7</v>
      </c>
    </row>
    <row r="39" spans="1:2" ht="15.75" customHeight="1" x14ac:dyDescent="0.25">
      <c r="A39" s="41">
        <v>37</v>
      </c>
      <c r="B39" s="24">
        <v>4.8</v>
      </c>
    </row>
    <row r="40" spans="1:2" ht="15.75" customHeight="1" x14ac:dyDescent="0.25">
      <c r="A40" s="41">
        <v>38</v>
      </c>
      <c r="B40" s="24">
        <v>5</v>
      </c>
    </row>
    <row r="41" spans="1:2" ht="15.75" customHeight="1" x14ac:dyDescent="0.25">
      <c r="A41" s="41">
        <v>39</v>
      </c>
      <c r="B41" s="24">
        <v>5.0999999999999996</v>
      </c>
    </row>
    <row r="42" spans="1:2" ht="15.75" customHeight="1" x14ac:dyDescent="0.25">
      <c r="A42" s="41">
        <v>40</v>
      </c>
      <c r="B42" s="24">
        <v>5.3</v>
      </c>
    </row>
    <row r="43" spans="1:2" ht="15.75" customHeight="1" x14ac:dyDescent="0.25">
      <c r="A43" s="41">
        <v>41</v>
      </c>
      <c r="B43" s="24">
        <v>5.4</v>
      </c>
    </row>
    <row r="44" spans="1:2" ht="15.75" customHeight="1" x14ac:dyDescent="0.25">
      <c r="A44" s="41">
        <v>42</v>
      </c>
      <c r="B44" s="24">
        <v>5.6</v>
      </c>
    </row>
    <row r="45" spans="1:2" ht="15.75" customHeight="1" x14ac:dyDescent="0.25">
      <c r="A45" s="41">
        <v>43</v>
      </c>
      <c r="B45" s="24">
        <v>5.7</v>
      </c>
    </row>
    <row r="46" spans="1:2" ht="15.75" customHeight="1" x14ac:dyDescent="0.25">
      <c r="A46" s="41">
        <v>44</v>
      </c>
      <c r="B46" s="24">
        <v>5.8</v>
      </c>
    </row>
    <row r="47" spans="1:2" ht="15.75" customHeight="1" x14ac:dyDescent="0.25">
      <c r="A47" s="41">
        <v>45</v>
      </c>
      <c r="B47" s="24">
        <v>6</v>
      </c>
    </row>
    <row r="48" spans="1:2" ht="15.75" customHeight="1" x14ac:dyDescent="0.25">
      <c r="A48" s="41">
        <v>46</v>
      </c>
      <c r="B48" s="24">
        <v>6.1</v>
      </c>
    </row>
    <row r="49" spans="1:2" ht="15.75" customHeight="1" x14ac:dyDescent="0.25">
      <c r="A49" s="41">
        <v>47</v>
      </c>
      <c r="B49" s="24">
        <v>6.3</v>
      </c>
    </row>
    <row r="50" spans="1:2" ht="15.75" customHeight="1" x14ac:dyDescent="0.25">
      <c r="A50" s="41">
        <v>48</v>
      </c>
      <c r="B50" s="24">
        <v>6.4</v>
      </c>
    </row>
    <row r="51" spans="1:2" ht="15.75" customHeight="1" x14ac:dyDescent="0.25">
      <c r="A51" s="41">
        <v>49</v>
      </c>
      <c r="B51" s="24">
        <v>6.6</v>
      </c>
    </row>
    <row r="52" spans="1:2" ht="15.75" customHeight="1" x14ac:dyDescent="0.25">
      <c r="A52" s="41">
        <v>50</v>
      </c>
      <c r="B52" s="24">
        <v>6.7</v>
      </c>
    </row>
    <row r="53" spans="1:2" ht="15.75" customHeight="1" x14ac:dyDescent="0.25">
      <c r="A53" s="41">
        <v>51</v>
      </c>
      <c r="B53" s="24">
        <v>6.9</v>
      </c>
    </row>
    <row r="54" spans="1:2" ht="15.75" customHeight="1" x14ac:dyDescent="0.25">
      <c r="A54" s="41">
        <v>52</v>
      </c>
      <c r="B54" s="24">
        <v>7</v>
      </c>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00"/>
  <sheetViews>
    <sheetView workbookViewId="0"/>
  </sheetViews>
  <sheetFormatPr baseColWidth="10" defaultColWidth="14.42578125" defaultRowHeight="15" customHeight="1" x14ac:dyDescent="0.25"/>
  <cols>
    <col min="1" max="6" width="10.7109375" customWidth="1"/>
  </cols>
  <sheetData>
    <row r="1" spans="1:2" x14ac:dyDescent="0.25">
      <c r="A1" s="41" t="s">
        <v>69</v>
      </c>
      <c r="B1" s="41" t="s">
        <v>70</v>
      </c>
    </row>
    <row r="2" spans="1:2" x14ac:dyDescent="0.25">
      <c r="A2" s="41">
        <v>0</v>
      </c>
      <c r="B2" s="41">
        <v>1</v>
      </c>
    </row>
    <row r="3" spans="1:2" x14ac:dyDescent="0.25">
      <c r="A3" s="41">
        <v>0.5</v>
      </c>
      <c r="B3" s="41">
        <v>1.1000000000000001</v>
      </c>
    </row>
    <row r="4" spans="1:2" x14ac:dyDescent="0.25">
      <c r="A4" s="41">
        <v>1</v>
      </c>
      <c r="B4" s="41">
        <v>1.2</v>
      </c>
    </row>
    <row r="5" spans="1:2" x14ac:dyDescent="0.25">
      <c r="A5" s="41">
        <v>1.5</v>
      </c>
      <c r="B5" s="41">
        <v>1.3</v>
      </c>
    </row>
    <row r="6" spans="1:2" x14ac:dyDescent="0.25">
      <c r="A6" s="41">
        <v>2</v>
      </c>
      <c r="B6" s="41">
        <v>1.4</v>
      </c>
    </row>
    <row r="7" spans="1:2" x14ac:dyDescent="0.25">
      <c r="A7" s="41">
        <v>2.5</v>
      </c>
      <c r="B7" s="41">
        <v>1.5</v>
      </c>
    </row>
    <row r="8" spans="1:2" x14ac:dyDescent="0.25">
      <c r="A8" s="41">
        <v>3</v>
      </c>
      <c r="B8" s="41">
        <v>1.6</v>
      </c>
    </row>
    <row r="9" spans="1:2" x14ac:dyDescent="0.25">
      <c r="A9" s="41">
        <v>3.5</v>
      </c>
      <c r="B9" s="41">
        <v>1.7</v>
      </c>
    </row>
    <row r="10" spans="1:2" x14ac:dyDescent="0.25">
      <c r="A10" s="41">
        <v>4</v>
      </c>
      <c r="B10" s="41">
        <v>1.8</v>
      </c>
    </row>
    <row r="11" spans="1:2" x14ac:dyDescent="0.25">
      <c r="A11" s="41">
        <v>4.5</v>
      </c>
      <c r="B11" s="41">
        <v>1.9</v>
      </c>
    </row>
    <row r="12" spans="1:2" x14ac:dyDescent="0.25">
      <c r="A12" s="41">
        <v>5</v>
      </c>
      <c r="B12" s="41">
        <v>2</v>
      </c>
    </row>
    <row r="13" spans="1:2" x14ac:dyDescent="0.25">
      <c r="A13" s="41">
        <v>5.5</v>
      </c>
      <c r="B13" s="41">
        <v>2.1</v>
      </c>
    </row>
    <row r="14" spans="1:2" x14ac:dyDescent="0.25">
      <c r="A14" s="41">
        <v>6</v>
      </c>
      <c r="B14" s="41">
        <v>2.2000000000000002</v>
      </c>
    </row>
    <row r="15" spans="1:2" x14ac:dyDescent="0.25">
      <c r="A15" s="41">
        <v>6.5</v>
      </c>
      <c r="B15" s="41">
        <v>2.2999999999999998</v>
      </c>
    </row>
    <row r="16" spans="1:2" x14ac:dyDescent="0.25">
      <c r="A16" s="41">
        <v>7</v>
      </c>
      <c r="B16" s="41">
        <v>2.4</v>
      </c>
    </row>
    <row r="17" spans="1:2" x14ac:dyDescent="0.25">
      <c r="A17" s="41">
        <v>7.5</v>
      </c>
      <c r="B17" s="41">
        <v>2.5</v>
      </c>
    </row>
    <row r="18" spans="1:2" x14ac:dyDescent="0.25">
      <c r="A18" s="41">
        <v>8</v>
      </c>
      <c r="B18" s="41">
        <v>2.6</v>
      </c>
    </row>
    <row r="19" spans="1:2" x14ac:dyDescent="0.25">
      <c r="A19" s="41">
        <v>8.5</v>
      </c>
      <c r="B19" s="41">
        <v>2.7</v>
      </c>
    </row>
    <row r="20" spans="1:2" x14ac:dyDescent="0.25">
      <c r="A20" s="41">
        <v>9</v>
      </c>
      <c r="B20" s="41">
        <v>2.8</v>
      </c>
    </row>
    <row r="21" spans="1:2" ht="15.75" customHeight="1" x14ac:dyDescent="0.25">
      <c r="A21" s="41">
        <v>9.5</v>
      </c>
      <c r="B21" s="41">
        <v>2.9</v>
      </c>
    </row>
    <row r="22" spans="1:2" ht="15.75" customHeight="1" x14ac:dyDescent="0.25">
      <c r="A22" s="41">
        <v>10</v>
      </c>
      <c r="B22" s="41">
        <v>3</v>
      </c>
    </row>
    <row r="23" spans="1:2" ht="15.75" customHeight="1" x14ac:dyDescent="0.25">
      <c r="A23" s="41">
        <v>10.5</v>
      </c>
      <c r="B23" s="41">
        <v>3.1</v>
      </c>
    </row>
    <row r="24" spans="1:2" ht="15.75" customHeight="1" x14ac:dyDescent="0.25">
      <c r="A24" s="41">
        <v>11</v>
      </c>
      <c r="B24" s="41">
        <v>3.2</v>
      </c>
    </row>
    <row r="25" spans="1:2" ht="15.75" customHeight="1" x14ac:dyDescent="0.25">
      <c r="A25" s="41">
        <v>11.5</v>
      </c>
      <c r="B25" s="41">
        <v>3.3</v>
      </c>
    </row>
    <row r="26" spans="1:2" ht="15.75" customHeight="1" x14ac:dyDescent="0.25">
      <c r="A26" s="41">
        <v>12</v>
      </c>
      <c r="B26" s="41">
        <v>3.4</v>
      </c>
    </row>
    <row r="27" spans="1:2" ht="15.75" customHeight="1" x14ac:dyDescent="0.25">
      <c r="A27" s="41">
        <v>12.5</v>
      </c>
      <c r="B27" s="41">
        <v>3.5</v>
      </c>
    </row>
    <row r="28" spans="1:2" ht="15.75" customHeight="1" x14ac:dyDescent="0.25">
      <c r="A28" s="41">
        <v>13</v>
      </c>
      <c r="B28" s="41">
        <v>3.6</v>
      </c>
    </row>
    <row r="29" spans="1:2" ht="15.75" customHeight="1" x14ac:dyDescent="0.25">
      <c r="A29" s="41">
        <v>13.5</v>
      </c>
      <c r="B29" s="41">
        <v>3.7</v>
      </c>
    </row>
    <row r="30" spans="1:2" ht="15.75" customHeight="1" x14ac:dyDescent="0.25">
      <c r="A30" s="41">
        <v>14</v>
      </c>
      <c r="B30" s="41">
        <v>3.8</v>
      </c>
    </row>
    <row r="31" spans="1:2" ht="15.75" customHeight="1" x14ac:dyDescent="0.25">
      <c r="A31" s="41">
        <v>14.5</v>
      </c>
      <c r="B31" s="41">
        <v>3.9</v>
      </c>
    </row>
    <row r="32" spans="1:2" ht="15.75" customHeight="1" x14ac:dyDescent="0.25">
      <c r="A32" s="41">
        <v>15</v>
      </c>
      <c r="B32" s="41">
        <v>4</v>
      </c>
    </row>
    <row r="33" spans="1:2" ht="15.75" customHeight="1" x14ac:dyDescent="0.25">
      <c r="A33" s="41">
        <v>15.5</v>
      </c>
      <c r="B33" s="41">
        <v>4.2</v>
      </c>
    </row>
    <row r="34" spans="1:2" ht="15.75" customHeight="1" x14ac:dyDescent="0.25">
      <c r="A34" s="41">
        <v>16</v>
      </c>
      <c r="B34" s="41">
        <v>4.3</v>
      </c>
    </row>
    <row r="35" spans="1:2" ht="15.75" customHeight="1" x14ac:dyDescent="0.25">
      <c r="A35" s="41">
        <v>16.5</v>
      </c>
      <c r="B35" s="41">
        <v>4.5</v>
      </c>
    </row>
    <row r="36" spans="1:2" ht="15.75" customHeight="1" x14ac:dyDescent="0.25">
      <c r="A36" s="41">
        <v>17</v>
      </c>
      <c r="B36" s="41">
        <v>4.5999999999999996</v>
      </c>
    </row>
    <row r="37" spans="1:2" ht="15.75" customHeight="1" x14ac:dyDescent="0.25">
      <c r="A37" s="41">
        <v>17.5</v>
      </c>
      <c r="B37" s="41">
        <v>4.8</v>
      </c>
    </row>
    <row r="38" spans="1:2" ht="15.75" customHeight="1" x14ac:dyDescent="0.25">
      <c r="A38" s="41">
        <v>18</v>
      </c>
      <c r="B38" s="41">
        <v>4.9000000000000004</v>
      </c>
    </row>
    <row r="39" spans="1:2" ht="15.75" customHeight="1" x14ac:dyDescent="0.25">
      <c r="A39" s="41">
        <v>18.5</v>
      </c>
      <c r="B39" s="41">
        <v>5.0999999999999996</v>
      </c>
    </row>
    <row r="40" spans="1:2" ht="15.75" customHeight="1" x14ac:dyDescent="0.25">
      <c r="A40" s="41">
        <v>19</v>
      </c>
      <c r="B40" s="41">
        <v>5.2</v>
      </c>
    </row>
    <row r="41" spans="1:2" ht="15.75" customHeight="1" x14ac:dyDescent="0.25">
      <c r="A41" s="41">
        <v>19.5</v>
      </c>
      <c r="B41" s="41">
        <v>5.4</v>
      </c>
    </row>
    <row r="42" spans="1:2" ht="15.75" customHeight="1" x14ac:dyDescent="0.25">
      <c r="A42" s="41">
        <v>20</v>
      </c>
      <c r="B42" s="41">
        <v>5.5</v>
      </c>
    </row>
    <row r="43" spans="1:2" ht="15.75" customHeight="1" x14ac:dyDescent="0.25">
      <c r="A43" s="41">
        <v>20.5</v>
      </c>
      <c r="B43" s="41">
        <v>5.7</v>
      </c>
    </row>
    <row r="44" spans="1:2" ht="15.75" customHeight="1" x14ac:dyDescent="0.25">
      <c r="A44" s="41">
        <v>21</v>
      </c>
      <c r="B44" s="41">
        <v>5.8</v>
      </c>
    </row>
    <row r="45" spans="1:2" ht="15.75" customHeight="1" x14ac:dyDescent="0.25">
      <c r="A45" s="41">
        <v>21.5</v>
      </c>
      <c r="B45" s="41">
        <v>6</v>
      </c>
    </row>
    <row r="46" spans="1:2" ht="15.75" customHeight="1" x14ac:dyDescent="0.25">
      <c r="A46" s="41">
        <v>22</v>
      </c>
      <c r="B46" s="41">
        <v>6.1</v>
      </c>
    </row>
    <row r="47" spans="1:2" ht="15.75" customHeight="1" x14ac:dyDescent="0.25">
      <c r="A47" s="41">
        <v>22.5</v>
      </c>
      <c r="B47" s="41">
        <v>6.3</v>
      </c>
    </row>
    <row r="48" spans="1:2" ht="15.75" customHeight="1" x14ac:dyDescent="0.25">
      <c r="A48" s="41">
        <v>23</v>
      </c>
      <c r="B48" s="41">
        <v>6.4</v>
      </c>
    </row>
    <row r="49" spans="1:2" ht="15.75" customHeight="1" x14ac:dyDescent="0.25">
      <c r="A49" s="41">
        <v>23.5</v>
      </c>
      <c r="B49" s="41">
        <v>6.6</v>
      </c>
    </row>
    <row r="50" spans="1:2" ht="15.75" customHeight="1" x14ac:dyDescent="0.25">
      <c r="A50" s="41">
        <v>24</v>
      </c>
      <c r="B50" s="41">
        <v>6.7</v>
      </c>
    </row>
    <row r="51" spans="1:2" ht="15.75" customHeight="1" x14ac:dyDescent="0.25">
      <c r="A51" s="41">
        <v>24.5</v>
      </c>
      <c r="B51" s="41">
        <v>6.9</v>
      </c>
    </row>
    <row r="52" spans="1:2" ht="15.75" customHeight="1" x14ac:dyDescent="0.25">
      <c r="A52" s="41">
        <v>25</v>
      </c>
      <c r="B52" s="41">
        <v>7</v>
      </c>
    </row>
    <row r="53" spans="1:2" ht="15.75" customHeight="1" x14ac:dyDescent="0.25">
      <c r="B53" s="24"/>
    </row>
    <row r="54" spans="1:2" ht="15.75" customHeight="1" x14ac:dyDescent="0.25">
      <c r="B54" s="24"/>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000"/>
  <sheetViews>
    <sheetView workbookViewId="0"/>
  </sheetViews>
  <sheetFormatPr baseColWidth="10" defaultColWidth="14.42578125" defaultRowHeight="15" customHeight="1" x14ac:dyDescent="0.25"/>
  <cols>
    <col min="1" max="6" width="10.7109375" customWidth="1"/>
  </cols>
  <sheetData>
    <row r="1" spans="1:5" x14ac:dyDescent="0.25">
      <c r="A1" s="69" t="s">
        <v>76</v>
      </c>
      <c r="B1" s="42" t="s">
        <v>69</v>
      </c>
      <c r="C1" s="43"/>
      <c r="D1" s="43"/>
      <c r="E1" s="44"/>
    </row>
    <row r="2" spans="1:5" ht="45" x14ac:dyDescent="0.25">
      <c r="A2" s="70"/>
      <c r="B2" s="45" t="s">
        <v>66</v>
      </c>
      <c r="C2" s="46" t="s">
        <v>67</v>
      </c>
      <c r="D2" s="46" t="s">
        <v>77</v>
      </c>
      <c r="E2" s="47" t="s">
        <v>6</v>
      </c>
    </row>
    <row r="3" spans="1:5" ht="30" x14ac:dyDescent="0.25">
      <c r="A3" s="48" t="s">
        <v>78</v>
      </c>
      <c r="B3" s="49">
        <v>4</v>
      </c>
      <c r="C3" s="49">
        <v>3</v>
      </c>
      <c r="D3" s="49">
        <v>2</v>
      </c>
      <c r="E3" s="49">
        <v>0</v>
      </c>
    </row>
    <row r="4" spans="1:5" x14ac:dyDescent="0.25">
      <c r="A4" s="48"/>
      <c r="B4" s="49"/>
      <c r="C4" s="49"/>
      <c r="D4" s="49"/>
      <c r="E4" s="49"/>
    </row>
    <row r="5" spans="1:5" x14ac:dyDescent="0.25">
      <c r="A5" s="48"/>
      <c r="B5" s="49"/>
      <c r="C5" s="49"/>
      <c r="D5" s="49"/>
      <c r="E5" s="49"/>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RUBRICA</vt:lpstr>
      <vt:lpstr>EVALUACION1</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Gerardo Galan Cruz</dc:creator>
  <cp:lastModifiedBy>PABLO . VIEDMA RAMIREZ</cp:lastModifiedBy>
  <dcterms:created xsi:type="dcterms:W3CDTF">2023-08-07T04:08:01Z</dcterms:created>
  <dcterms:modified xsi:type="dcterms:W3CDTF">2025-11-26T10:57:19Z</dcterms:modified>
</cp:coreProperties>
</file>